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I:\My Drive\Kailash_Sample works\ChatGPT inside Excel\FM - Cloud.ai\"/>
    </mc:Choice>
  </mc:AlternateContent>
  <xr:revisionPtr revIDLastSave="0" documentId="13_ncr:1_{F052C4D0-FE39-45F5-8A6B-A7C7A0799997}" xr6:coauthVersionLast="47" xr6:coauthVersionMax="47" xr10:uidLastSave="{00000000-0000-0000-0000-000000000000}"/>
  <bookViews>
    <workbookView xWindow="-108" yWindow="-108" windowWidth="23256" windowHeight="13896" firstSheet="10" activeTab="13" xr2:uid="{00000000-000D-0000-FFFF-FFFF00000000}"/>
  </bookViews>
  <sheets>
    <sheet name="Cover" sheetId="1" r:id="rId1"/>
    <sheet name="Assumptions" sheetId="2" r:id="rId2"/>
    <sheet name="Revenue Model" sheetId="3" r:id="rId3"/>
    <sheet name="COGS" sheetId="4" r:id="rId4"/>
    <sheet name="Headcount" sheetId="5" r:id="rId5"/>
    <sheet name="Opex" sheetId="6" r:id="rId6"/>
    <sheet name="P&amp;L" sheetId="7" r:id="rId7"/>
    <sheet name="Cash Runway" sheetId="8" r:id="rId8"/>
    <sheet name="SaaS KPI Dashboard" sheetId="9" r:id="rId9"/>
    <sheet name="Scenario Analysis" sheetId="10" r:id="rId10"/>
    <sheet name="Charts" sheetId="11" r:id="rId11"/>
    <sheet name="Commentary" sheetId="12" r:id="rId12"/>
    <sheet name="Board Analysis" sheetId="13" r:id="rId13"/>
    <sheet name="Board Deck Input" sheetId="15"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 i="15" l="1"/>
  <c r="D11" i="15"/>
  <c r="C11" i="15"/>
  <c r="F10" i="15"/>
  <c r="D10" i="15"/>
  <c r="C10" i="15"/>
  <c r="F9" i="15"/>
  <c r="D9" i="15"/>
  <c r="C9" i="15"/>
  <c r="F8" i="15"/>
  <c r="D8" i="15"/>
  <c r="C8" i="15"/>
  <c r="F7" i="15"/>
  <c r="D7" i="15"/>
  <c r="C7" i="15"/>
  <c r="F6" i="15"/>
  <c r="D6" i="15"/>
  <c r="C6" i="15" a="1"/>
  <c r="C6" i="15" s="1"/>
  <c r="F5" i="15"/>
  <c r="D5" i="15"/>
  <c r="C5" i="15"/>
  <c r="F4" i="15"/>
  <c r="D4" i="15"/>
  <c r="C4" i="15"/>
  <c r="F3" i="15"/>
  <c r="D3" i="15"/>
  <c r="C3" i="15"/>
  <c r="F2" i="15"/>
  <c r="D2" i="15"/>
  <c r="C2" i="15"/>
  <c r="B42" i="13"/>
  <c r="B41" i="13"/>
  <c r="B40" i="13"/>
  <c r="B37" i="13"/>
  <c r="B36" i="13"/>
  <c r="B35" i="13"/>
  <c r="B34" i="13"/>
  <c r="B33" i="13"/>
  <c r="B32" i="13"/>
  <c r="B31" i="13"/>
  <c r="B28" i="13"/>
  <c r="B27" i="13" a="1"/>
  <c r="B27" i="13" s="1"/>
  <c r="B26" i="13"/>
  <c r="B25" i="13"/>
  <c r="B22" i="13"/>
  <c r="B21" i="13"/>
  <c r="B20" i="13"/>
  <c r="B19" i="13"/>
  <c r="B18" i="13"/>
  <c r="B15" i="13"/>
  <c r="B14" i="13"/>
  <c r="B13" i="13"/>
  <c r="B12" i="13"/>
  <c r="B11" i="13"/>
  <c r="B8" i="13"/>
  <c r="B7" i="13"/>
  <c r="B6" i="13"/>
  <c r="B5" i="13"/>
  <c r="M28" i="11"/>
  <c r="J28" i="11"/>
  <c r="F28" i="11"/>
  <c r="A28" i="11"/>
  <c r="M27" i="11"/>
  <c r="J27" i="11"/>
  <c r="F27" i="11"/>
  <c r="A27" i="11"/>
  <c r="M26" i="11"/>
  <c r="J26" i="11"/>
  <c r="F26" i="11"/>
  <c r="A26" i="11"/>
  <c r="M25" i="11"/>
  <c r="J25" i="11"/>
  <c r="F25" i="11"/>
  <c r="A25" i="11"/>
  <c r="M24" i="11"/>
  <c r="J24" i="11"/>
  <c r="F24" i="11"/>
  <c r="A24" i="11"/>
  <c r="M23" i="11"/>
  <c r="J23" i="11"/>
  <c r="F23" i="11"/>
  <c r="A23" i="11"/>
  <c r="M22" i="11"/>
  <c r="J22" i="11"/>
  <c r="F22" i="11"/>
  <c r="A22" i="11"/>
  <c r="M21" i="11"/>
  <c r="J21" i="11"/>
  <c r="F21" i="11"/>
  <c r="A21" i="11"/>
  <c r="M20" i="11"/>
  <c r="J20" i="11"/>
  <c r="F20" i="11"/>
  <c r="A20" i="11"/>
  <c r="M19" i="11"/>
  <c r="J19" i="11"/>
  <c r="F19" i="11"/>
  <c r="A19" i="11"/>
  <c r="M18" i="11"/>
  <c r="J18" i="11"/>
  <c r="F18" i="11"/>
  <c r="A18" i="11"/>
  <c r="M17" i="11"/>
  <c r="J17" i="11"/>
  <c r="F17" i="11"/>
  <c r="A17" i="11"/>
  <c r="M16" i="11"/>
  <c r="J16" i="11"/>
  <c r="F16" i="11"/>
  <c r="A16" i="11"/>
  <c r="M15" i="11"/>
  <c r="J15" i="11"/>
  <c r="F15" i="11"/>
  <c r="A15" i="11"/>
  <c r="M14" i="11"/>
  <c r="J14" i="11"/>
  <c r="F14" i="11"/>
  <c r="A14" i="11"/>
  <c r="M13" i="11"/>
  <c r="J13" i="11"/>
  <c r="F13" i="11"/>
  <c r="A13" i="11"/>
  <c r="M12" i="11"/>
  <c r="J12" i="11"/>
  <c r="F12" i="11"/>
  <c r="A12" i="11"/>
  <c r="M11" i="11"/>
  <c r="J11" i="11"/>
  <c r="F11" i="11"/>
  <c r="A11" i="11"/>
  <c r="M10" i="11"/>
  <c r="J10" i="11"/>
  <c r="F10" i="11"/>
  <c r="A10" i="11"/>
  <c r="M9" i="11"/>
  <c r="J9" i="11"/>
  <c r="F9" i="11"/>
  <c r="A9" i="11"/>
  <c r="M8" i="11"/>
  <c r="J8" i="11"/>
  <c r="F8" i="11"/>
  <c r="A8" i="11"/>
  <c r="M7" i="11"/>
  <c r="J7" i="11"/>
  <c r="F7" i="11"/>
  <c r="A7" i="11"/>
  <c r="M6" i="11"/>
  <c r="J6" i="11"/>
  <c r="F6" i="11"/>
  <c r="A6" i="11"/>
  <c r="M5" i="11"/>
  <c r="J5" i="11"/>
  <c r="F5" i="11"/>
  <c r="A5" i="11"/>
  <c r="A45" i="9"/>
  <c r="A44" i="9"/>
  <c r="A43" i="9"/>
  <c r="A42" i="9"/>
  <c r="A41" i="9"/>
  <c r="A40" i="9"/>
  <c r="A39" i="9"/>
  <c r="A38" i="9"/>
  <c r="A37" i="9"/>
  <c r="A36" i="9"/>
  <c r="A35" i="9"/>
  <c r="A34" i="9"/>
  <c r="A33" i="9"/>
  <c r="A32" i="9"/>
  <c r="A31" i="9"/>
  <c r="A30" i="9"/>
  <c r="A29" i="9"/>
  <c r="A28" i="9"/>
  <c r="A27" i="9"/>
  <c r="A26" i="9"/>
  <c r="A25" i="9"/>
  <c r="A24" i="9"/>
  <c r="A23" i="9"/>
  <c r="A22" i="9"/>
  <c r="Y14" i="8"/>
  <c r="X14" i="8"/>
  <c r="W14" i="8"/>
  <c r="V14" i="8"/>
  <c r="U14" i="8"/>
  <c r="T14" i="8"/>
  <c r="S14" i="8"/>
  <c r="R14" i="8"/>
  <c r="Q14" i="8"/>
  <c r="P14" i="8"/>
  <c r="O14" i="8"/>
  <c r="N14" i="8"/>
  <c r="M14" i="8"/>
  <c r="L14" i="8"/>
  <c r="K14" i="8"/>
  <c r="J14" i="8"/>
  <c r="I14" i="8"/>
  <c r="H14" i="8"/>
  <c r="G14" i="8"/>
  <c r="F14" i="8"/>
  <c r="E14" i="8"/>
  <c r="D14" i="8"/>
  <c r="C14" i="8"/>
  <c r="B14" i="8"/>
  <c r="Y8" i="8"/>
  <c r="X8" i="8"/>
  <c r="W8" i="8"/>
  <c r="V8" i="8"/>
  <c r="U8" i="8"/>
  <c r="T8" i="8"/>
  <c r="S8" i="8"/>
  <c r="R8" i="8"/>
  <c r="Q8" i="8"/>
  <c r="P8" i="8"/>
  <c r="O8" i="8"/>
  <c r="N8" i="8"/>
  <c r="M8" i="8"/>
  <c r="L8" i="8"/>
  <c r="K8" i="8"/>
  <c r="J8" i="8"/>
  <c r="I8" i="8"/>
  <c r="H8" i="8"/>
  <c r="G8" i="8"/>
  <c r="F8" i="8"/>
  <c r="E8" i="8"/>
  <c r="D8" i="8"/>
  <c r="C8" i="8"/>
  <c r="B8" i="8"/>
  <c r="B6" i="8"/>
  <c r="L18" i="7"/>
  <c r="V17" i="7"/>
  <c r="H17" i="7"/>
  <c r="C17" i="7"/>
  <c r="T20" i="6"/>
  <c r="T18" i="7" s="1"/>
  <c r="Y19" i="6"/>
  <c r="X19" i="6"/>
  <c r="W19" i="6"/>
  <c r="V19" i="6"/>
  <c r="U19" i="6"/>
  <c r="T19" i="6"/>
  <c r="S19" i="6"/>
  <c r="R19" i="6"/>
  <c r="Q19" i="6"/>
  <c r="P19" i="6"/>
  <c r="O19" i="6"/>
  <c r="N19" i="6"/>
  <c r="M19" i="6"/>
  <c r="L19" i="6"/>
  <c r="K19" i="6"/>
  <c r="J19" i="6"/>
  <c r="I19" i="6"/>
  <c r="H19" i="6"/>
  <c r="G19" i="6"/>
  <c r="F19" i="6"/>
  <c r="E19" i="6"/>
  <c r="D19" i="6"/>
  <c r="C19" i="6"/>
  <c r="B19" i="6"/>
  <c r="Y18" i="6"/>
  <c r="X18" i="6"/>
  <c r="W18" i="6"/>
  <c r="V18" i="6"/>
  <c r="U18" i="6"/>
  <c r="T18" i="6"/>
  <c r="S18" i="6"/>
  <c r="R18" i="6"/>
  <c r="Q18" i="6"/>
  <c r="P18" i="6"/>
  <c r="O18" i="6"/>
  <c r="N18" i="6"/>
  <c r="M18" i="6"/>
  <c r="L18" i="6"/>
  <c r="K18" i="6"/>
  <c r="J18" i="6"/>
  <c r="I18" i="6"/>
  <c r="H18" i="6"/>
  <c r="G18" i="6"/>
  <c r="F18" i="6"/>
  <c r="E18" i="6"/>
  <c r="D18" i="6"/>
  <c r="C18" i="6"/>
  <c r="B18" i="6"/>
  <c r="X17" i="6"/>
  <c r="X20" i="6" s="1"/>
  <c r="X18" i="7" s="1"/>
  <c r="V17" i="6"/>
  <c r="V20" i="6" s="1"/>
  <c r="V18" i="7" s="1"/>
  <c r="U17" i="6"/>
  <c r="U20" i="6" s="1"/>
  <c r="U18" i="7" s="1"/>
  <c r="Q17" i="6"/>
  <c r="Q20" i="6" s="1"/>
  <c r="Q18" i="7" s="1"/>
  <c r="O17" i="6"/>
  <c r="O20" i="6" s="1"/>
  <c r="O18" i="7" s="1"/>
  <c r="J17" i="6"/>
  <c r="J20" i="6" s="1"/>
  <c r="J18" i="7" s="1"/>
  <c r="C17" i="6"/>
  <c r="C20" i="6" s="1"/>
  <c r="C18" i="7" s="1"/>
  <c r="R14" i="6"/>
  <c r="R17" i="7" s="1"/>
  <c r="Q14" i="6"/>
  <c r="Q17" i="7" s="1"/>
  <c r="D14" i="6"/>
  <c r="D17" i="7" s="1"/>
  <c r="C14" i="6"/>
  <c r="Y13" i="6"/>
  <c r="X13" i="6"/>
  <c r="W13" i="6"/>
  <c r="V13" i="6"/>
  <c r="U13" i="6"/>
  <c r="T13" i="6"/>
  <c r="S13" i="6"/>
  <c r="R13" i="6"/>
  <c r="Q13" i="6"/>
  <c r="P13" i="6"/>
  <c r="O13" i="6"/>
  <c r="N13" i="6"/>
  <c r="M13" i="6"/>
  <c r="L13" i="6"/>
  <c r="K13" i="6"/>
  <c r="J13" i="6"/>
  <c r="I13" i="6"/>
  <c r="H13" i="6"/>
  <c r="G13" i="6"/>
  <c r="F13" i="6"/>
  <c r="E13" i="6"/>
  <c r="D13" i="6"/>
  <c r="C13" i="6"/>
  <c r="B13" i="6"/>
  <c r="S12" i="6"/>
  <c r="S14" i="6" s="1"/>
  <c r="S17" i="7" s="1"/>
  <c r="Q12" i="6"/>
  <c r="J12" i="6"/>
  <c r="J14" i="6" s="1"/>
  <c r="J17" i="7" s="1"/>
  <c r="E12" i="6"/>
  <c r="E14" i="6" s="1"/>
  <c r="E17" i="7" s="1"/>
  <c r="C12" i="6"/>
  <c r="Y7" i="6"/>
  <c r="X7" i="6"/>
  <c r="W7" i="6"/>
  <c r="V7" i="6"/>
  <c r="U7" i="6"/>
  <c r="T7" i="6"/>
  <c r="S7" i="6"/>
  <c r="R7" i="6"/>
  <c r="Q7" i="6"/>
  <c r="P7" i="6"/>
  <c r="O7" i="6"/>
  <c r="N7" i="6"/>
  <c r="M7" i="6"/>
  <c r="L7" i="6"/>
  <c r="K7" i="6"/>
  <c r="J7" i="6"/>
  <c r="I7" i="6"/>
  <c r="H7" i="6"/>
  <c r="G7" i="6"/>
  <c r="F7" i="6"/>
  <c r="E7" i="6"/>
  <c r="D7" i="6"/>
  <c r="C7" i="6"/>
  <c r="B7" i="6"/>
  <c r="V6" i="6"/>
  <c r="O6" i="6"/>
  <c r="R15" i="5"/>
  <c r="F15" i="5"/>
  <c r="D15" i="5"/>
  <c r="Y14" i="5"/>
  <c r="Y17" i="6" s="1"/>
  <c r="X14" i="5"/>
  <c r="W14" i="5"/>
  <c r="W17" i="6" s="1"/>
  <c r="V14" i="5"/>
  <c r="U14" i="5"/>
  <c r="T14" i="5"/>
  <c r="T17" i="6" s="1"/>
  <c r="S14" i="5"/>
  <c r="S17" i="6" s="1"/>
  <c r="S20" i="6" s="1"/>
  <c r="S18" i="7" s="1"/>
  <c r="R14" i="5"/>
  <c r="R17" i="6" s="1"/>
  <c r="R20" i="6" s="1"/>
  <c r="R18" i="7" s="1"/>
  <c r="Q14" i="5"/>
  <c r="P14" i="5"/>
  <c r="P17" i="6" s="1"/>
  <c r="P20" i="6" s="1"/>
  <c r="P18" i="7" s="1"/>
  <c r="O14" i="5"/>
  <c r="N14" i="5"/>
  <c r="N17" i="6" s="1"/>
  <c r="N20" i="6" s="1"/>
  <c r="N18" i="7" s="1"/>
  <c r="M14" i="5"/>
  <c r="M17" i="6" s="1"/>
  <c r="M20" i="6" s="1"/>
  <c r="M18" i="7" s="1"/>
  <c r="L14" i="5"/>
  <c r="L17" i="6" s="1"/>
  <c r="L20" i="6" s="1"/>
  <c r="K14" i="5"/>
  <c r="K17" i="6" s="1"/>
  <c r="J14" i="5"/>
  <c r="I14" i="5"/>
  <c r="I17" i="6" s="1"/>
  <c r="H14" i="5"/>
  <c r="H17" i="6" s="1"/>
  <c r="H20" i="6" s="1"/>
  <c r="H18" i="7" s="1"/>
  <c r="G14" i="5"/>
  <c r="G17" i="6" s="1"/>
  <c r="G20" i="6" s="1"/>
  <c r="G18" i="7" s="1"/>
  <c r="F14" i="5"/>
  <c r="F17" i="6" s="1"/>
  <c r="F20" i="6" s="1"/>
  <c r="F18" i="7" s="1"/>
  <c r="E14" i="5"/>
  <c r="E17" i="6" s="1"/>
  <c r="E20" i="6" s="1"/>
  <c r="E18" i="7" s="1"/>
  <c r="D14" i="5"/>
  <c r="D17" i="6" s="1"/>
  <c r="D20" i="6" s="1"/>
  <c r="D18" i="7" s="1"/>
  <c r="C14" i="5"/>
  <c r="B14" i="5"/>
  <c r="B17" i="6" s="1"/>
  <c r="B20" i="6" s="1"/>
  <c r="B18" i="7" s="1"/>
  <c r="Y13" i="5"/>
  <c r="Y12" i="6" s="1"/>
  <c r="Y14" i="6" s="1"/>
  <c r="Y17" i="7" s="1"/>
  <c r="X13" i="5"/>
  <c r="X12" i="6" s="1"/>
  <c r="X14" i="6" s="1"/>
  <c r="X17" i="7" s="1"/>
  <c r="W13" i="5"/>
  <c r="W12" i="6" s="1"/>
  <c r="W14" i="6" s="1"/>
  <c r="W17" i="7" s="1"/>
  <c r="V13" i="5"/>
  <c r="V12" i="6" s="1"/>
  <c r="V14" i="6" s="1"/>
  <c r="U13" i="5"/>
  <c r="U12" i="6" s="1"/>
  <c r="U14" i="6" s="1"/>
  <c r="U17" i="7" s="1"/>
  <c r="T13" i="5"/>
  <c r="T12" i="6" s="1"/>
  <c r="T14" i="6" s="1"/>
  <c r="T17" i="7" s="1"/>
  <c r="S13" i="5"/>
  <c r="R13" i="5"/>
  <c r="R12" i="6" s="1"/>
  <c r="Q13" i="5"/>
  <c r="P13" i="5"/>
  <c r="P12" i="6" s="1"/>
  <c r="P14" i="6" s="1"/>
  <c r="P17" i="7" s="1"/>
  <c r="O13" i="5"/>
  <c r="O12" i="6" s="1"/>
  <c r="O14" i="6" s="1"/>
  <c r="O17" i="7" s="1"/>
  <c r="N13" i="5"/>
  <c r="N12" i="6" s="1"/>
  <c r="N14" i="6" s="1"/>
  <c r="N17" i="7" s="1"/>
  <c r="M13" i="5"/>
  <c r="M12" i="6" s="1"/>
  <c r="M14" i="6" s="1"/>
  <c r="M17" i="7" s="1"/>
  <c r="L13" i="5"/>
  <c r="L12" i="6" s="1"/>
  <c r="L14" i="6" s="1"/>
  <c r="L17" i="7" s="1"/>
  <c r="K13" i="5"/>
  <c r="K12" i="6" s="1"/>
  <c r="K14" i="6" s="1"/>
  <c r="K17" i="7" s="1"/>
  <c r="J13" i="5"/>
  <c r="I13" i="5"/>
  <c r="I12" i="6" s="1"/>
  <c r="I14" i="6" s="1"/>
  <c r="I17" i="7" s="1"/>
  <c r="H13" i="5"/>
  <c r="H12" i="6" s="1"/>
  <c r="H14" i="6" s="1"/>
  <c r="G13" i="5"/>
  <c r="G12" i="6" s="1"/>
  <c r="G14" i="6" s="1"/>
  <c r="G17" i="7" s="1"/>
  <c r="F13" i="5"/>
  <c r="F12" i="6" s="1"/>
  <c r="F14" i="6" s="1"/>
  <c r="F17" i="7" s="1"/>
  <c r="E13" i="5"/>
  <c r="D13" i="5"/>
  <c r="D12" i="6" s="1"/>
  <c r="C13" i="5"/>
  <c r="B13" i="5"/>
  <c r="B12" i="6" s="1"/>
  <c r="B14" i="6" s="1"/>
  <c r="B17" i="7" s="1"/>
  <c r="Y12" i="5"/>
  <c r="Y6" i="6" s="1"/>
  <c r="X12" i="5"/>
  <c r="W12" i="5"/>
  <c r="V12" i="5"/>
  <c r="U12" i="5"/>
  <c r="T12" i="5"/>
  <c r="T6" i="6" s="1"/>
  <c r="S12" i="5"/>
  <c r="R12" i="5"/>
  <c r="R6" i="6" s="1"/>
  <c r="Q12" i="5"/>
  <c r="P12" i="5"/>
  <c r="P15" i="5" s="1"/>
  <c r="O12" i="5"/>
  <c r="O15" i="5" s="1"/>
  <c r="N12" i="5"/>
  <c r="M12" i="5"/>
  <c r="L12" i="5"/>
  <c r="K12" i="5"/>
  <c r="K6" i="6" s="1"/>
  <c r="J12" i="5"/>
  <c r="I12" i="5"/>
  <c r="H12" i="5"/>
  <c r="H6" i="6" s="1"/>
  <c r="G12" i="5"/>
  <c r="F12" i="5"/>
  <c r="F6" i="6" s="1"/>
  <c r="E12" i="5"/>
  <c r="D12" i="5"/>
  <c r="D6" i="6" s="1"/>
  <c r="C12" i="5"/>
  <c r="B12" i="5"/>
  <c r="B15" i="5" s="1"/>
  <c r="W9" i="5"/>
  <c r="O9" i="5"/>
  <c r="J9" i="5"/>
  <c r="E9" i="5"/>
  <c r="D9" i="5"/>
  <c r="C9" i="5"/>
  <c r="Y8" i="5"/>
  <c r="X8" i="5"/>
  <c r="W8" i="5"/>
  <c r="V8" i="5"/>
  <c r="U8" i="5"/>
  <c r="T8" i="5"/>
  <c r="S8" i="5"/>
  <c r="R8" i="5"/>
  <c r="Q8" i="5"/>
  <c r="P8" i="5"/>
  <c r="O8" i="5"/>
  <c r="N8" i="5"/>
  <c r="N9" i="5" s="1"/>
  <c r="M8" i="5"/>
  <c r="L8" i="5"/>
  <c r="K8" i="5"/>
  <c r="J8" i="5"/>
  <c r="I8" i="5"/>
  <c r="H8" i="5"/>
  <c r="G8" i="5"/>
  <c r="F8" i="5"/>
  <c r="E8" i="5"/>
  <c r="D8" i="5"/>
  <c r="C8" i="5"/>
  <c r="B8" i="5"/>
  <c r="Y7" i="5"/>
  <c r="X7" i="5"/>
  <c r="X9" i="5" s="1"/>
  <c r="W7" i="5"/>
  <c r="V7" i="5"/>
  <c r="U7" i="5"/>
  <c r="T7" i="5"/>
  <c r="S7" i="5"/>
  <c r="R7" i="5"/>
  <c r="Q7" i="5"/>
  <c r="P7" i="5"/>
  <c r="P9" i="5" s="1"/>
  <c r="O7" i="5"/>
  <c r="N7" i="5"/>
  <c r="M7" i="5"/>
  <c r="L7" i="5"/>
  <c r="K7" i="5"/>
  <c r="K9" i="5" s="1"/>
  <c r="J7" i="5"/>
  <c r="I7" i="5"/>
  <c r="H7" i="5"/>
  <c r="G7" i="5"/>
  <c r="F7" i="5"/>
  <c r="E7" i="5"/>
  <c r="D7" i="5"/>
  <c r="C7" i="5"/>
  <c r="B7" i="5"/>
  <c r="B9" i="5" s="1"/>
  <c r="Y6" i="5"/>
  <c r="X6" i="5"/>
  <c r="W6" i="5"/>
  <c r="V6" i="5"/>
  <c r="U6" i="5"/>
  <c r="U9" i="5" s="1"/>
  <c r="T6" i="5"/>
  <c r="T9" i="5" s="1"/>
  <c r="S6" i="5"/>
  <c r="S9" i="5" s="1"/>
  <c r="R6" i="5"/>
  <c r="R9" i="5" s="1"/>
  <c r="Q6" i="5"/>
  <c r="Q9" i="5" s="1"/>
  <c r="P6" i="5"/>
  <c r="O6" i="5"/>
  <c r="N6" i="5"/>
  <c r="M6" i="5"/>
  <c r="L6" i="5"/>
  <c r="L9" i="5" s="1"/>
  <c r="K6" i="5"/>
  <c r="J6" i="5"/>
  <c r="I6" i="5"/>
  <c r="I9" i="5" s="1"/>
  <c r="H6" i="5"/>
  <c r="G6" i="5"/>
  <c r="G9" i="5" s="1"/>
  <c r="F6" i="5"/>
  <c r="F9" i="5" s="1"/>
  <c r="E6" i="5"/>
  <c r="D6" i="5"/>
  <c r="C6" i="5"/>
  <c r="B6" i="5"/>
  <c r="Y16" i="4"/>
  <c r="X16" i="4"/>
  <c r="W16" i="4"/>
  <c r="V16" i="4"/>
  <c r="U16" i="4"/>
  <c r="T16" i="4"/>
  <c r="S16" i="4"/>
  <c r="R16" i="4"/>
  <c r="Q16" i="4"/>
  <c r="P16" i="4"/>
  <c r="O16" i="4"/>
  <c r="N16" i="4"/>
  <c r="M16" i="4"/>
  <c r="L16" i="4"/>
  <c r="K16" i="4"/>
  <c r="J16" i="4"/>
  <c r="I16" i="4"/>
  <c r="H16" i="4"/>
  <c r="G16" i="4"/>
  <c r="F16" i="4"/>
  <c r="E16" i="4"/>
  <c r="D16" i="4"/>
  <c r="C16" i="4"/>
  <c r="B16" i="4"/>
  <c r="B25" i="3"/>
  <c r="B14" i="3"/>
  <c r="B13" i="3"/>
  <c r="B8" i="3"/>
  <c r="B24" i="3" s="1"/>
  <c r="B7" i="3"/>
  <c r="B6" i="3"/>
  <c r="C15" i="2"/>
  <c r="B15" i="3" l="1"/>
  <c r="B16" i="3"/>
  <c r="B17" i="3"/>
  <c r="B19" i="3" s="1"/>
  <c r="B28" i="3"/>
  <c r="F23" i="6"/>
  <c r="T23" i="6"/>
  <c r="K15" i="5"/>
  <c r="E6" i="6"/>
  <c r="E15" i="5"/>
  <c r="S6" i="6"/>
  <c r="S15" i="5"/>
  <c r="G15" i="5"/>
  <c r="G6" i="6"/>
  <c r="U15" i="5"/>
  <c r="U6" i="6"/>
  <c r="H23" i="6"/>
  <c r="T15" i="5"/>
  <c r="I15" i="5"/>
  <c r="W15" i="5"/>
  <c r="H9" i="5"/>
  <c r="V9" i="5"/>
  <c r="V23" i="6"/>
  <c r="Y9" i="5"/>
  <c r="B8" i="6"/>
  <c r="B20" i="3"/>
  <c r="B7" i="7" s="1"/>
  <c r="B9" i="3"/>
  <c r="C15" i="5"/>
  <c r="C6" i="6"/>
  <c r="Q6" i="6"/>
  <c r="Q15" i="5"/>
  <c r="K20" i="6"/>
  <c r="K18" i="7" s="1"/>
  <c r="Y20" i="6"/>
  <c r="Y18" i="7" s="1"/>
  <c r="C7" i="3"/>
  <c r="M9" i="5"/>
  <c r="J15" i="5"/>
  <c r="X15" i="5"/>
  <c r="Y15" i="5"/>
  <c r="K23" i="6"/>
  <c r="Y23" i="6"/>
  <c r="L15" i="5"/>
  <c r="L6" i="6"/>
  <c r="J6" i="6"/>
  <c r="M6" i="6"/>
  <c r="M15" i="5"/>
  <c r="O23" i="6"/>
  <c r="N15" i="5"/>
  <c r="N6" i="6"/>
  <c r="I20" i="6"/>
  <c r="I18" i="7" s="1"/>
  <c r="W20" i="6"/>
  <c r="W18" i="7" s="1"/>
  <c r="D23" i="6"/>
  <c r="R23" i="6"/>
  <c r="H15" i="5"/>
  <c r="V15" i="5"/>
  <c r="I6" i="6"/>
  <c r="W6" i="6"/>
  <c r="X6" i="6"/>
  <c r="B6" i="6"/>
  <c r="P6" i="6"/>
  <c r="B6" i="7" l="1"/>
  <c r="B8" i="7" s="1"/>
  <c r="B21" i="3"/>
  <c r="G23" i="6"/>
  <c r="S23" i="6"/>
  <c r="N23" i="6"/>
  <c r="B9" i="6"/>
  <c r="B23" i="6"/>
  <c r="C8" i="6"/>
  <c r="C9" i="6" s="1"/>
  <c r="C20" i="3"/>
  <c r="C7" i="7" s="1"/>
  <c r="D7" i="3"/>
  <c r="C14" i="3"/>
  <c r="C23" i="6"/>
  <c r="B22" i="9"/>
  <c r="B5" i="11"/>
  <c r="B27" i="3"/>
  <c r="C13" i="3"/>
  <c r="B26" i="3"/>
  <c r="B18" i="3"/>
  <c r="N5" i="11"/>
  <c r="C6" i="3"/>
  <c r="B10" i="3"/>
  <c r="P23" i="6"/>
  <c r="E23" i="6"/>
  <c r="X23" i="6"/>
  <c r="W23" i="6"/>
  <c r="U23" i="6"/>
  <c r="I23" i="6"/>
  <c r="M23" i="6"/>
  <c r="J23" i="6"/>
  <c r="L23" i="6"/>
  <c r="Q23" i="6"/>
  <c r="C16" i="7" l="1"/>
  <c r="C19" i="7" s="1"/>
  <c r="C22" i="6"/>
  <c r="C22" i="9"/>
  <c r="C5" i="11"/>
  <c r="D8" i="6"/>
  <c r="D9" i="6" s="1"/>
  <c r="E7" i="3"/>
  <c r="D20" i="3"/>
  <c r="D7" i="7" s="1"/>
  <c r="D14" i="3"/>
  <c r="C8" i="3"/>
  <c r="C24" i="3" s="1"/>
  <c r="C9" i="3"/>
  <c r="C10" i="3"/>
  <c r="B16" i="7"/>
  <c r="B19" i="7" s="1"/>
  <c r="B22" i="6"/>
  <c r="C15" i="3"/>
  <c r="B7" i="8"/>
  <c r="B9" i="8" s="1"/>
  <c r="B6" i="4"/>
  <c r="D22" i="9"/>
  <c r="D5" i="11"/>
  <c r="G5" i="11"/>
  <c r="B24" i="6" l="1"/>
  <c r="B13" i="8"/>
  <c r="N6" i="11"/>
  <c r="D6" i="3"/>
  <c r="E8" i="6"/>
  <c r="E9" i="6" s="1"/>
  <c r="E14" i="3"/>
  <c r="F7" i="3"/>
  <c r="E20" i="3"/>
  <c r="E7" i="7" s="1"/>
  <c r="B8" i="4"/>
  <c r="B7" i="4"/>
  <c r="B10" i="4" s="1"/>
  <c r="B9" i="4"/>
  <c r="D22" i="6"/>
  <c r="D16" i="7"/>
  <c r="D19" i="7" s="1"/>
  <c r="C16" i="3"/>
  <c r="C17" i="3" s="1"/>
  <c r="C28" i="3"/>
  <c r="C13" i="8"/>
  <c r="C24" i="6"/>
  <c r="B23" i="9" l="1"/>
  <c r="C26" i="3"/>
  <c r="C27" i="3"/>
  <c r="C18" i="3"/>
  <c r="B6" i="11"/>
  <c r="D13" i="3"/>
  <c r="C25" i="3"/>
  <c r="C19" i="3"/>
  <c r="B11" i="4"/>
  <c r="F8" i="6"/>
  <c r="F9" i="6" s="1"/>
  <c r="F14" i="3"/>
  <c r="F20" i="3"/>
  <c r="F7" i="7" s="1"/>
  <c r="G7" i="3"/>
  <c r="D8" i="3"/>
  <c r="D24" i="3" s="1"/>
  <c r="D13" i="8"/>
  <c r="D24" i="6"/>
  <c r="E16" i="7"/>
  <c r="E19" i="7" s="1"/>
  <c r="E22" i="6"/>
  <c r="C6" i="7" l="1"/>
  <c r="C8" i="7" s="1"/>
  <c r="C21" i="3"/>
  <c r="D15" i="3"/>
  <c r="D28" i="3" s="1"/>
  <c r="D16" i="3"/>
  <c r="D17" i="3" s="1"/>
  <c r="G8" i="6"/>
  <c r="G9" i="6" s="1"/>
  <c r="G20" i="3"/>
  <c r="G7" i="7" s="1"/>
  <c r="H7" i="3"/>
  <c r="G14" i="3"/>
  <c r="F22" i="6"/>
  <c r="F16" i="7"/>
  <c r="F19" i="7" s="1"/>
  <c r="B11" i="7"/>
  <c r="B12" i="7" s="1"/>
  <c r="H5" i="11"/>
  <c r="B12" i="8"/>
  <c r="B15" i="8" s="1"/>
  <c r="E22" i="9"/>
  <c r="B12" i="4"/>
  <c r="B13" i="4" s="1"/>
  <c r="B17" i="4" s="1"/>
  <c r="E13" i="8"/>
  <c r="E24" i="6"/>
  <c r="C23" i="9"/>
  <c r="C6" i="11"/>
  <c r="D9" i="3"/>
  <c r="B7" i="11" l="1"/>
  <c r="B24" i="9"/>
  <c r="D26" i="3"/>
  <c r="D25" i="3"/>
  <c r="D27" i="3"/>
  <c r="D18" i="3"/>
  <c r="E13" i="3"/>
  <c r="D19" i="3"/>
  <c r="B22" i="7"/>
  <c r="B23" i="7" s="1"/>
  <c r="B13" i="7"/>
  <c r="F24" i="6"/>
  <c r="F13" i="8"/>
  <c r="H8" i="6"/>
  <c r="H9" i="6" s="1"/>
  <c r="I7" i="3"/>
  <c r="H20" i="3"/>
  <c r="H7" i="7" s="1"/>
  <c r="H14" i="3"/>
  <c r="N7" i="11"/>
  <c r="E6" i="3"/>
  <c r="D10" i="3"/>
  <c r="G22" i="6"/>
  <c r="G16" i="7"/>
  <c r="G19" i="7" s="1"/>
  <c r="B18" i="8"/>
  <c r="B19" i="8"/>
  <c r="C7" i="8"/>
  <c r="C9" i="8" s="1"/>
  <c r="C6" i="4"/>
  <c r="D23" i="9"/>
  <c r="G6" i="11"/>
  <c r="D6" i="11"/>
  <c r="H22" i="6" l="1"/>
  <c r="H16" i="7"/>
  <c r="H19" i="7" s="1"/>
  <c r="K5" i="11"/>
  <c r="B22" i="8"/>
  <c r="F22" i="9"/>
  <c r="C6" i="8"/>
  <c r="B21" i="8"/>
  <c r="B20" i="8"/>
  <c r="D6" i="7"/>
  <c r="D8" i="7" s="1"/>
  <c r="D21" i="3"/>
  <c r="E15" i="3"/>
  <c r="E28" i="3" s="1"/>
  <c r="E16" i="3"/>
  <c r="E17" i="3"/>
  <c r="E19" i="3"/>
  <c r="G24" i="6"/>
  <c r="G13" i="8"/>
  <c r="C7" i="11"/>
  <c r="C24" i="9"/>
  <c r="E8" i="3"/>
  <c r="E24" i="3" s="1"/>
  <c r="I8" i="6"/>
  <c r="I9" i="6" s="1"/>
  <c r="I14" i="3"/>
  <c r="I20" i="3"/>
  <c r="I7" i="7" s="1"/>
  <c r="J7" i="3"/>
  <c r="C10" i="4"/>
  <c r="C8" i="4"/>
  <c r="C7" i="4"/>
  <c r="C9" i="4"/>
  <c r="D7" i="11" l="1"/>
  <c r="D24" i="9"/>
  <c r="G7" i="11"/>
  <c r="E6" i="7"/>
  <c r="E8" i="7" s="1"/>
  <c r="E21" i="3"/>
  <c r="B8" i="11"/>
  <c r="B25" i="9"/>
  <c r="E25" i="3"/>
  <c r="E26" i="3"/>
  <c r="E27" i="3"/>
  <c r="E18" i="3"/>
  <c r="F13" i="3"/>
  <c r="J8" i="6"/>
  <c r="J9" i="6" s="1"/>
  <c r="J14" i="3"/>
  <c r="K7" i="3"/>
  <c r="J20" i="3"/>
  <c r="J7" i="7" s="1"/>
  <c r="D7" i="8"/>
  <c r="D9" i="8" s="1"/>
  <c r="D6" i="4"/>
  <c r="I16" i="7"/>
  <c r="I19" i="7" s="1"/>
  <c r="I22" i="6"/>
  <c r="E9" i="3"/>
  <c r="C11" i="4"/>
  <c r="H24" i="6"/>
  <c r="H13" i="8"/>
  <c r="J16" i="7" l="1"/>
  <c r="J19" i="7" s="1"/>
  <c r="J22" i="6"/>
  <c r="K20" i="3"/>
  <c r="K7" i="7" s="1"/>
  <c r="K14" i="3"/>
  <c r="K8" i="6"/>
  <c r="K9" i="6" s="1"/>
  <c r="L7" i="3"/>
  <c r="C25" i="9"/>
  <c r="C8" i="11"/>
  <c r="F15" i="3"/>
  <c r="F16" i="3" s="1"/>
  <c r="E23" i="9"/>
  <c r="C11" i="7"/>
  <c r="C12" i="7" s="1"/>
  <c r="H6" i="11"/>
  <c r="C12" i="8"/>
  <c r="C15" i="8" s="1"/>
  <c r="C12" i="4"/>
  <c r="C13" i="4" s="1"/>
  <c r="C17" i="4" s="1"/>
  <c r="N8" i="11"/>
  <c r="F6" i="3"/>
  <c r="E10" i="3"/>
  <c r="I24" i="6"/>
  <c r="I13" i="8"/>
  <c r="E7" i="8"/>
  <c r="E9" i="8" s="1"/>
  <c r="E6" i="4"/>
  <c r="D8" i="4"/>
  <c r="D7" i="4"/>
  <c r="D9" i="4"/>
  <c r="D10" i="4"/>
  <c r="G8" i="11"/>
  <c r="D8" i="11"/>
  <c r="D25" i="9"/>
  <c r="F28" i="3" l="1"/>
  <c r="F17" i="3"/>
  <c r="D11" i="4"/>
  <c r="E7" i="4"/>
  <c r="E8" i="4"/>
  <c r="E9" i="4"/>
  <c r="E10" i="4"/>
  <c r="F8" i="3"/>
  <c r="F24" i="3" s="1"/>
  <c r="F9" i="3"/>
  <c r="L8" i="6"/>
  <c r="L9" i="6" s="1"/>
  <c r="M7" i="3"/>
  <c r="L14" i="3"/>
  <c r="L20" i="3"/>
  <c r="L7" i="7" s="1"/>
  <c r="J24" i="6"/>
  <c r="J13" i="8"/>
  <c r="C22" i="7"/>
  <c r="C23" i="7" s="1"/>
  <c r="C13" i="7"/>
  <c r="K22" i="6"/>
  <c r="K16" i="7"/>
  <c r="K19" i="7" s="1"/>
  <c r="C18" i="8"/>
  <c r="C19" i="8"/>
  <c r="M8" i="6" l="1"/>
  <c r="M9" i="6" s="1"/>
  <c r="N7" i="3"/>
  <c r="M20" i="3"/>
  <c r="M7" i="7" s="1"/>
  <c r="M14" i="3"/>
  <c r="N9" i="11"/>
  <c r="G6" i="3"/>
  <c r="L16" i="7"/>
  <c r="L19" i="7" s="1"/>
  <c r="L22" i="6"/>
  <c r="F10" i="3"/>
  <c r="C22" i="8"/>
  <c r="D6" i="8"/>
  <c r="D19" i="8" s="1"/>
  <c r="C21" i="8"/>
  <c r="F23" i="9"/>
  <c r="K6" i="11"/>
  <c r="C20" i="8"/>
  <c r="K13" i="8"/>
  <c r="K24" i="6"/>
  <c r="E11" i="4"/>
  <c r="D11" i="7"/>
  <c r="D12" i="7" s="1"/>
  <c r="E24" i="9"/>
  <c r="H7" i="11"/>
  <c r="D12" i="8"/>
  <c r="D15" i="8" s="1"/>
  <c r="D18" i="8" s="1"/>
  <c r="D12" i="4"/>
  <c r="D13" i="4" s="1"/>
  <c r="D17" i="4" s="1"/>
  <c r="B9" i="11"/>
  <c r="F25" i="3"/>
  <c r="G13" i="3"/>
  <c r="F26" i="3"/>
  <c r="F27" i="3"/>
  <c r="F18" i="3"/>
  <c r="B26" i="9"/>
  <c r="F19" i="3"/>
  <c r="D22" i="8" l="1"/>
  <c r="F24" i="9"/>
  <c r="E6" i="8"/>
  <c r="K7" i="11"/>
  <c r="D21" i="8"/>
  <c r="G15" i="3"/>
  <c r="G28" i="3" s="1"/>
  <c r="G16" i="3"/>
  <c r="G17" i="3" s="1"/>
  <c r="D20" i="8"/>
  <c r="L24" i="6"/>
  <c r="L13" i="8"/>
  <c r="G8" i="3"/>
  <c r="G24" i="3" s="1"/>
  <c r="D22" i="7"/>
  <c r="D23" i="7" s="1"/>
  <c r="D13" i="7"/>
  <c r="H8" i="11"/>
  <c r="E25" i="9"/>
  <c r="E12" i="8"/>
  <c r="E15" i="8" s="1"/>
  <c r="E18" i="8" s="1"/>
  <c r="E11" i="7"/>
  <c r="E12" i="7" s="1"/>
  <c r="E12" i="4"/>
  <c r="E13" i="4" s="1"/>
  <c r="E17" i="4" s="1"/>
  <c r="F6" i="7"/>
  <c r="F8" i="7" s="1"/>
  <c r="F21" i="3"/>
  <c r="N8" i="6"/>
  <c r="N9" i="6" s="1"/>
  <c r="N20" i="3"/>
  <c r="N7" i="7" s="1"/>
  <c r="N14" i="3"/>
  <c r="O7" i="3"/>
  <c r="C9" i="11"/>
  <c r="C26" i="9"/>
  <c r="M22" i="6"/>
  <c r="M16" i="7"/>
  <c r="M19" i="7" s="1"/>
  <c r="B27" i="9" l="1"/>
  <c r="B10" i="11"/>
  <c r="G18" i="3"/>
  <c r="H13" i="3"/>
  <c r="G26" i="3"/>
  <c r="G25" i="3"/>
  <c r="G19" i="3"/>
  <c r="E20" i="8"/>
  <c r="M24" i="6"/>
  <c r="M13" i="8"/>
  <c r="N16" i="7"/>
  <c r="N19" i="7" s="1"/>
  <c r="N22" i="6"/>
  <c r="F7" i="8"/>
  <c r="F9" i="8" s="1"/>
  <c r="F6" i="4"/>
  <c r="D26" i="9"/>
  <c r="G9" i="11"/>
  <c r="D9" i="11"/>
  <c r="E22" i="7"/>
  <c r="E23" i="7" s="1"/>
  <c r="E13" i="7"/>
  <c r="E19" i="8"/>
  <c r="O20" i="3"/>
  <c r="O7" i="7" s="1"/>
  <c r="O14" i="3"/>
  <c r="O8" i="6"/>
  <c r="O9" i="6" s="1"/>
  <c r="P7" i="3"/>
  <c r="G9" i="3"/>
  <c r="N10" i="11" l="1"/>
  <c r="H6" i="3"/>
  <c r="G10" i="3"/>
  <c r="P8" i="6"/>
  <c r="P9" i="6" s="1"/>
  <c r="Q7" i="3"/>
  <c r="P20" i="3"/>
  <c r="P7" i="7" s="1"/>
  <c r="P14" i="3"/>
  <c r="O16" i="7"/>
  <c r="O19" i="7" s="1"/>
  <c r="O22" i="6"/>
  <c r="E22" i="8"/>
  <c r="F25" i="9"/>
  <c r="F6" i="8"/>
  <c r="E21" i="8"/>
  <c r="K8" i="11"/>
  <c r="N24" i="6"/>
  <c r="N13" i="8"/>
  <c r="G6" i="7"/>
  <c r="G8" i="7" s="1"/>
  <c r="G21" i="3"/>
  <c r="H15" i="3"/>
  <c r="H28" i="3" s="1"/>
  <c r="H16" i="3"/>
  <c r="H17" i="3" s="1"/>
  <c r="C10" i="11"/>
  <c r="C27" i="9"/>
  <c r="G27" i="3"/>
  <c r="F9" i="4"/>
  <c r="F7" i="4"/>
  <c r="F8" i="4"/>
  <c r="F10" i="4" s="1"/>
  <c r="B11" i="11" l="1"/>
  <c r="B28" i="9"/>
  <c r="H25" i="3"/>
  <c r="H18" i="3"/>
  <c r="H26" i="3"/>
  <c r="I13" i="3"/>
  <c r="H19" i="3"/>
  <c r="O24" i="6"/>
  <c r="O13" i="8"/>
  <c r="Q8" i="6"/>
  <c r="Q9" i="6" s="1"/>
  <c r="Q20" i="3"/>
  <c r="Q7" i="7" s="1"/>
  <c r="R7" i="3"/>
  <c r="Q14" i="3"/>
  <c r="G7" i="8"/>
  <c r="G9" i="8" s="1"/>
  <c r="G6" i="4"/>
  <c r="P16" i="7"/>
  <c r="P19" i="7" s="1"/>
  <c r="P22" i="6"/>
  <c r="D27" i="9"/>
  <c r="G10" i="11"/>
  <c r="D10" i="11"/>
  <c r="H8" i="3"/>
  <c r="H24" i="3" s="1"/>
  <c r="H9" i="3"/>
  <c r="F11" i="4"/>
  <c r="Q16" i="7" l="1"/>
  <c r="Q19" i="7" s="1"/>
  <c r="Q22" i="6"/>
  <c r="R8" i="6"/>
  <c r="R9" i="6" s="1"/>
  <c r="S7" i="3"/>
  <c r="R20" i="3"/>
  <c r="R7" i="7" s="1"/>
  <c r="R14" i="3"/>
  <c r="H9" i="11"/>
  <c r="F12" i="8"/>
  <c r="F15" i="8" s="1"/>
  <c r="E26" i="9"/>
  <c r="F11" i="7"/>
  <c r="F12" i="7" s="1"/>
  <c r="F12" i="4"/>
  <c r="F13" i="4" s="1"/>
  <c r="F17" i="4" s="1"/>
  <c r="N11" i="11"/>
  <c r="I6" i="3"/>
  <c r="H10" i="3"/>
  <c r="H6" i="7"/>
  <c r="H8" i="7" s="1"/>
  <c r="H21" i="3"/>
  <c r="H27" i="3"/>
  <c r="I15" i="3"/>
  <c r="I16" i="3"/>
  <c r="I17" i="3"/>
  <c r="I19" i="3"/>
  <c r="I28" i="3"/>
  <c r="P24" i="6"/>
  <c r="P13" i="8"/>
  <c r="C28" i="9"/>
  <c r="C11" i="11"/>
  <c r="G7" i="4"/>
  <c r="G9" i="4"/>
  <c r="G8" i="4"/>
  <c r="I6" i="7" l="1"/>
  <c r="I8" i="7" s="1"/>
  <c r="I21" i="3"/>
  <c r="I8" i="3"/>
  <c r="I24" i="3" s="1"/>
  <c r="I9" i="3"/>
  <c r="I10" i="3"/>
  <c r="F13" i="7"/>
  <c r="F22" i="7"/>
  <c r="F23" i="7" s="1"/>
  <c r="F18" i="8"/>
  <c r="F20" i="8" s="1"/>
  <c r="F19" i="8"/>
  <c r="B12" i="11"/>
  <c r="B29" i="9"/>
  <c r="I25" i="3"/>
  <c r="I26" i="3"/>
  <c r="J13" i="3"/>
  <c r="I18" i="3"/>
  <c r="S8" i="6"/>
  <c r="S9" i="6" s="1"/>
  <c r="S14" i="3"/>
  <c r="T7" i="3"/>
  <c r="S20" i="3"/>
  <c r="S7" i="7" s="1"/>
  <c r="R22" i="6"/>
  <c r="R16" i="7"/>
  <c r="R19" i="7" s="1"/>
  <c r="G10" i="4"/>
  <c r="G11" i="4" s="1"/>
  <c r="H7" i="8"/>
  <c r="H9" i="8" s="1"/>
  <c r="H6" i="4"/>
  <c r="Q13" i="8"/>
  <c r="Q24" i="6"/>
  <c r="G11" i="11"/>
  <c r="D11" i="11"/>
  <c r="D28" i="9"/>
  <c r="G12" i="8" l="1"/>
  <c r="G15" i="8" s="1"/>
  <c r="G18" i="8" s="1"/>
  <c r="G11" i="7"/>
  <c r="G12" i="7" s="1"/>
  <c r="H10" i="11"/>
  <c r="E27" i="9"/>
  <c r="G12" i="4"/>
  <c r="G13" i="4" s="1"/>
  <c r="G17" i="4" s="1"/>
  <c r="H7" i="4"/>
  <c r="H10" i="4"/>
  <c r="H9" i="4"/>
  <c r="H8" i="4"/>
  <c r="K9" i="11"/>
  <c r="F26" i="9"/>
  <c r="F21" i="8"/>
  <c r="G6" i="8"/>
  <c r="G19" i="8" s="1"/>
  <c r="F22" i="8"/>
  <c r="R13" i="8"/>
  <c r="R24" i="6"/>
  <c r="T8" i="6"/>
  <c r="T9" i="6" s="1"/>
  <c r="T20" i="3"/>
  <c r="T7" i="7" s="1"/>
  <c r="T14" i="3"/>
  <c r="U7" i="3"/>
  <c r="N12" i="11"/>
  <c r="J6" i="3"/>
  <c r="S16" i="7"/>
  <c r="S19" i="7" s="1"/>
  <c r="S22" i="6"/>
  <c r="I27" i="3"/>
  <c r="C12" i="11"/>
  <c r="C29" i="9"/>
  <c r="I7" i="8"/>
  <c r="I9" i="8" s="1"/>
  <c r="I6" i="4"/>
  <c r="J15" i="3"/>
  <c r="J17" i="3" s="1"/>
  <c r="J16" i="3"/>
  <c r="J28" i="3" s="1"/>
  <c r="D12" i="11"/>
  <c r="D29" i="9"/>
  <c r="G12" i="11"/>
  <c r="B30" i="9" l="1"/>
  <c r="K13" i="3"/>
  <c r="J26" i="3"/>
  <c r="J25" i="3"/>
  <c r="J18" i="3"/>
  <c r="B13" i="11"/>
  <c r="J27" i="3"/>
  <c r="J19" i="3"/>
  <c r="F27" i="9"/>
  <c r="H6" i="8"/>
  <c r="G21" i="8"/>
  <c r="G22" i="8"/>
  <c r="K10" i="11"/>
  <c r="S13" i="8"/>
  <c r="S24" i="6"/>
  <c r="J8" i="3"/>
  <c r="J24" i="3" s="1"/>
  <c r="J9" i="3"/>
  <c r="J10" i="3"/>
  <c r="U8" i="6"/>
  <c r="U9" i="6" s="1"/>
  <c r="U20" i="3"/>
  <c r="U7" i="7" s="1"/>
  <c r="U14" i="3"/>
  <c r="V7" i="3"/>
  <c r="H11" i="4"/>
  <c r="T22" i="6"/>
  <c r="T16" i="7"/>
  <c r="T19" i="7" s="1"/>
  <c r="I8" i="4"/>
  <c r="I9" i="4"/>
  <c r="I10" i="4"/>
  <c r="I7" i="4"/>
  <c r="G22" i="7"/>
  <c r="G23" i="7" s="1"/>
  <c r="G13" i="7"/>
  <c r="G20" i="8"/>
  <c r="T24" i="6" l="1"/>
  <c r="T13" i="8"/>
  <c r="H12" i="8"/>
  <c r="H15" i="8" s="1"/>
  <c r="H18" i="8" s="1"/>
  <c r="H11" i="11"/>
  <c r="H11" i="7"/>
  <c r="H12" i="7" s="1"/>
  <c r="E28" i="9"/>
  <c r="H12" i="4"/>
  <c r="H13" i="4" s="1"/>
  <c r="H17" i="4" s="1"/>
  <c r="V8" i="6"/>
  <c r="V9" i="6" s="1"/>
  <c r="W7" i="3"/>
  <c r="V20" i="3"/>
  <c r="V7" i="7" s="1"/>
  <c r="V14" i="3"/>
  <c r="J6" i="7"/>
  <c r="J8" i="7" s="1"/>
  <c r="J21" i="3"/>
  <c r="U22" i="6"/>
  <c r="U16" i="7"/>
  <c r="U19" i="7" s="1"/>
  <c r="C30" i="9"/>
  <c r="C13" i="11"/>
  <c r="N13" i="11"/>
  <c r="K6" i="3"/>
  <c r="K15" i="3"/>
  <c r="K28" i="3" s="1"/>
  <c r="K16" i="3"/>
  <c r="K17" i="3" s="1"/>
  <c r="I11" i="4"/>
  <c r="B14" i="11" l="1"/>
  <c r="B31" i="9"/>
  <c r="K25" i="3"/>
  <c r="K18" i="3"/>
  <c r="K26" i="3"/>
  <c r="L13" i="3"/>
  <c r="K19" i="3"/>
  <c r="J7" i="8"/>
  <c r="J9" i="8" s="1"/>
  <c r="J6" i="4"/>
  <c r="D30" i="9"/>
  <c r="G13" i="11"/>
  <c r="D13" i="11"/>
  <c r="I11" i="7"/>
  <c r="I12" i="7" s="1"/>
  <c r="H12" i="11"/>
  <c r="E29" i="9"/>
  <c r="I12" i="8"/>
  <c r="I15" i="8" s="1"/>
  <c r="I18" i="8" s="1"/>
  <c r="I12" i="4"/>
  <c r="I13" i="4" s="1"/>
  <c r="I17" i="4" s="1"/>
  <c r="W8" i="6"/>
  <c r="W9" i="6" s="1"/>
  <c r="W20" i="3"/>
  <c r="W7" i="7" s="1"/>
  <c r="X7" i="3"/>
  <c r="W14" i="3"/>
  <c r="V22" i="6"/>
  <c r="V16" i="7"/>
  <c r="V19" i="7" s="1"/>
  <c r="K8" i="3"/>
  <c r="K24" i="3" s="1"/>
  <c r="H13" i="7"/>
  <c r="H22" i="7"/>
  <c r="H23" i="7" s="1"/>
  <c r="U24" i="6"/>
  <c r="U13" i="8"/>
  <c r="H19" i="8"/>
  <c r="V24" i="6" l="1"/>
  <c r="V13" i="8"/>
  <c r="X8" i="6"/>
  <c r="X9" i="6" s="1"/>
  <c r="X20" i="3"/>
  <c r="X7" i="7" s="1"/>
  <c r="X14" i="3"/>
  <c r="Y7" i="3"/>
  <c r="K6" i="7"/>
  <c r="K8" i="7" s="1"/>
  <c r="K21" i="3"/>
  <c r="K11" i="11"/>
  <c r="H21" i="8"/>
  <c r="F28" i="9"/>
  <c r="H22" i="8"/>
  <c r="I6" i="8"/>
  <c r="I19" i="8" s="1"/>
  <c r="L15" i="3"/>
  <c r="L16" i="3" s="1"/>
  <c r="C14" i="11"/>
  <c r="C31" i="9"/>
  <c r="H20" i="8"/>
  <c r="K9" i="3"/>
  <c r="W16" i="7"/>
  <c r="W19" i="7" s="1"/>
  <c r="W22" i="6"/>
  <c r="J7" i="4"/>
  <c r="J9" i="4"/>
  <c r="J8" i="4"/>
  <c r="I22" i="7"/>
  <c r="I23" i="7" s="1"/>
  <c r="I13" i="7"/>
  <c r="L28" i="3" l="1"/>
  <c r="L17" i="3"/>
  <c r="J6" i="8"/>
  <c r="F29" i="9"/>
  <c r="K12" i="11"/>
  <c r="I22" i="8"/>
  <c r="I21" i="8"/>
  <c r="J10" i="4"/>
  <c r="J11" i="4" s="1"/>
  <c r="W24" i="6"/>
  <c r="W13" i="8"/>
  <c r="N14" i="11"/>
  <c r="L6" i="3"/>
  <c r="K27" i="3"/>
  <c r="K10" i="3"/>
  <c r="K7" i="8"/>
  <c r="K9" i="8" s="1"/>
  <c r="K6" i="4"/>
  <c r="G14" i="11"/>
  <c r="D14" i="11"/>
  <c r="D31" i="9"/>
  <c r="Y20" i="3"/>
  <c r="Y7" i="7" s="1"/>
  <c r="Y14" i="3"/>
  <c r="Y8" i="6"/>
  <c r="Y9" i="6" s="1"/>
  <c r="I20" i="8"/>
  <c r="X16" i="7"/>
  <c r="X19" i="7" s="1"/>
  <c r="X22" i="6"/>
  <c r="E30" i="9" l="1"/>
  <c r="H13" i="11"/>
  <c r="J12" i="8"/>
  <c r="J15" i="8" s="1"/>
  <c r="J18" i="8" s="1"/>
  <c r="J11" i="7"/>
  <c r="J12" i="7" s="1"/>
  <c r="J12" i="4"/>
  <c r="J13" i="4" s="1"/>
  <c r="J17" i="4" s="1"/>
  <c r="X24" i="6"/>
  <c r="X13" i="8"/>
  <c r="L10" i="3"/>
  <c r="L8" i="3"/>
  <c r="L24" i="3" s="1"/>
  <c r="L9" i="3"/>
  <c r="Y22" i="6"/>
  <c r="Y16" i="7"/>
  <c r="Y19" i="7" s="1"/>
  <c r="J19" i="8"/>
  <c r="K7" i="4"/>
  <c r="K9" i="4"/>
  <c r="K8" i="4"/>
  <c r="K10" i="4" s="1"/>
  <c r="B32" i="9"/>
  <c r="B15" i="11"/>
  <c r="L18" i="3"/>
  <c r="M13" i="3"/>
  <c r="L25" i="3"/>
  <c r="L26" i="3"/>
  <c r="L27" i="3"/>
  <c r="L19" i="3"/>
  <c r="K6" i="8" l="1"/>
  <c r="J21" i="8"/>
  <c r="J22" i="8"/>
  <c r="K13" i="11"/>
  <c r="F30" i="9"/>
  <c r="N15" i="11"/>
  <c r="M6" i="3"/>
  <c r="L6" i="7"/>
  <c r="L8" i="7" s="1"/>
  <c r="L21" i="3"/>
  <c r="Y13" i="8"/>
  <c r="Y24" i="6"/>
  <c r="M16" i="3"/>
  <c r="M17" i="3"/>
  <c r="M28" i="3"/>
  <c r="M15" i="3"/>
  <c r="J13" i="7"/>
  <c r="J22" i="7"/>
  <c r="J23" i="7" s="1"/>
  <c r="C15" i="11"/>
  <c r="C32" i="9"/>
  <c r="J20" i="8"/>
  <c r="K11" i="4"/>
  <c r="L7" i="8" l="1"/>
  <c r="L9" i="8" s="1"/>
  <c r="L6" i="4"/>
  <c r="B16" i="11"/>
  <c r="M25" i="3"/>
  <c r="M26" i="3"/>
  <c r="M18" i="3"/>
  <c r="B33" i="9"/>
  <c r="N13" i="3"/>
  <c r="E31" i="9"/>
  <c r="K11" i="7"/>
  <c r="K12" i="7" s="1"/>
  <c r="H14" i="11"/>
  <c r="K12" i="8"/>
  <c r="K15" i="8" s="1"/>
  <c r="K18" i="8" s="1"/>
  <c r="K12" i="4"/>
  <c r="K13" i="4" s="1"/>
  <c r="K17" i="4" s="1"/>
  <c r="D32" i="9"/>
  <c r="G15" i="11"/>
  <c r="D15" i="11"/>
  <c r="M8" i="3"/>
  <c r="M24" i="3" s="1"/>
  <c r="M19" i="3"/>
  <c r="K13" i="7" l="1"/>
  <c r="K22" i="7"/>
  <c r="K23" i="7" s="1"/>
  <c r="K19" i="8"/>
  <c r="N28" i="3"/>
  <c r="N15" i="3"/>
  <c r="N16" i="3"/>
  <c r="N17" i="3" s="1"/>
  <c r="M6" i="7"/>
  <c r="M8" i="7" s="1"/>
  <c r="M21" i="3"/>
  <c r="C16" i="11"/>
  <c r="C33" i="9"/>
  <c r="M9" i="3"/>
  <c r="L7" i="4"/>
  <c r="L8" i="4"/>
  <c r="L10" i="4" s="1"/>
  <c r="L9" i="4"/>
  <c r="B34" i="9" l="1"/>
  <c r="O13" i="3"/>
  <c r="N18" i="3"/>
  <c r="B17" i="11"/>
  <c r="N26" i="3"/>
  <c r="N25" i="3"/>
  <c r="N19" i="3"/>
  <c r="L6" i="8"/>
  <c r="K14" i="11"/>
  <c r="F31" i="9"/>
  <c r="K22" i="8"/>
  <c r="K21" i="8"/>
  <c r="L11" i="4"/>
  <c r="K20" i="8"/>
  <c r="N16" i="11"/>
  <c r="N6" i="3"/>
  <c r="M27" i="3"/>
  <c r="M10" i="3"/>
  <c r="M7" i="8"/>
  <c r="M9" i="8" s="1"/>
  <c r="M6" i="4"/>
  <c r="G16" i="11"/>
  <c r="D33" i="9"/>
  <c r="D16" i="11"/>
  <c r="N6" i="7" l="1"/>
  <c r="N8" i="7" s="1"/>
  <c r="N21" i="3"/>
  <c r="M9" i="4"/>
  <c r="M7" i="4"/>
  <c r="M8" i="4"/>
  <c r="C17" i="11"/>
  <c r="C34" i="9"/>
  <c r="N8" i="3"/>
  <c r="N24" i="3" s="1"/>
  <c r="E32" i="9"/>
  <c r="L12" i="8"/>
  <c r="L15" i="8" s="1"/>
  <c r="L18" i="8" s="1"/>
  <c r="H15" i="11"/>
  <c r="L11" i="7"/>
  <c r="L12" i="7" s="1"/>
  <c r="L12" i="4"/>
  <c r="L13" i="4" s="1"/>
  <c r="L17" i="4" s="1"/>
  <c r="O15" i="3"/>
  <c r="O16" i="3"/>
  <c r="O28" i="3" s="1"/>
  <c r="L20" i="8" l="1"/>
  <c r="L19" i="8"/>
  <c r="N9" i="3"/>
  <c r="O17" i="3"/>
  <c r="M10" i="4"/>
  <c r="M11" i="4" s="1"/>
  <c r="L13" i="7"/>
  <c r="L22" i="7"/>
  <c r="L23" i="7" s="1"/>
  <c r="N7" i="8"/>
  <c r="N9" i="8" s="1"/>
  <c r="N6" i="4"/>
  <c r="G17" i="11"/>
  <c r="D17" i="11"/>
  <c r="D34" i="9"/>
  <c r="M12" i="8" l="1"/>
  <c r="M15" i="8" s="1"/>
  <c r="M18" i="8" s="1"/>
  <c r="H16" i="11"/>
  <c r="E33" i="9"/>
  <c r="M11" i="7"/>
  <c r="M12" i="7" s="1"/>
  <c r="M12" i="4"/>
  <c r="M13" i="4" s="1"/>
  <c r="M17" i="4" s="1"/>
  <c r="N9" i="4"/>
  <c r="N7" i="4"/>
  <c r="N8" i="4"/>
  <c r="N17" i="11"/>
  <c r="O6" i="3"/>
  <c r="N27" i="3"/>
  <c r="N10" i="3"/>
  <c r="B35" i="9"/>
  <c r="B18" i="11"/>
  <c r="P13" i="3"/>
  <c r="O26" i="3"/>
  <c r="O25" i="3"/>
  <c r="O18" i="3"/>
  <c r="O19" i="3"/>
  <c r="M6" i="8"/>
  <c r="F32" i="9"/>
  <c r="L21" i="8"/>
  <c r="K15" i="11"/>
  <c r="L22" i="8"/>
  <c r="O8" i="3" l="1"/>
  <c r="O24" i="3" s="1"/>
  <c r="O21" i="3"/>
  <c r="O6" i="7"/>
  <c r="O8" i="7" s="1"/>
  <c r="C35" i="9"/>
  <c r="C18" i="11"/>
  <c r="N10" i="4"/>
  <c r="N11" i="4" s="1"/>
  <c r="M13" i="7"/>
  <c r="M22" i="7"/>
  <c r="M23" i="7" s="1"/>
  <c r="M19" i="8"/>
  <c r="M20" i="8" s="1"/>
  <c r="P15" i="3"/>
  <c r="N12" i="8" l="1"/>
  <c r="N15" i="8" s="1"/>
  <c r="N18" i="8" s="1"/>
  <c r="N11" i="7"/>
  <c r="N12" i="7" s="1"/>
  <c r="H17" i="11"/>
  <c r="E34" i="9"/>
  <c r="N12" i="4"/>
  <c r="N13" i="4" s="1"/>
  <c r="N17" i="4" s="1"/>
  <c r="O7" i="8"/>
  <c r="O9" i="8" s="1"/>
  <c r="O6" i="4"/>
  <c r="P16" i="3"/>
  <c r="P28" i="3" s="1"/>
  <c r="O9" i="3"/>
  <c r="M21" i="8"/>
  <c r="K16" i="11"/>
  <c r="F33" i="9"/>
  <c r="N6" i="8"/>
  <c r="M22" i="8"/>
  <c r="G18" i="11"/>
  <c r="D18" i="11"/>
  <c r="D35" i="9"/>
  <c r="N19" i="8" l="1"/>
  <c r="N20" i="8" s="1"/>
  <c r="N18" i="11"/>
  <c r="P6" i="3"/>
  <c r="O27" i="3"/>
  <c r="O10" i="3"/>
  <c r="P17" i="3"/>
  <c r="O7" i="4"/>
  <c r="O8" i="4"/>
  <c r="O9" i="4"/>
  <c r="O10" i="4" s="1"/>
  <c r="N22" i="7"/>
  <c r="N23" i="7" s="1"/>
  <c r="N13" i="7"/>
  <c r="O11" i="4" l="1"/>
  <c r="B36" i="9"/>
  <c r="B19" i="11"/>
  <c r="Q13" i="3"/>
  <c r="P25" i="3"/>
  <c r="P26" i="3"/>
  <c r="P18" i="3"/>
  <c r="P19" i="3"/>
  <c r="P8" i="3"/>
  <c r="P24" i="3" s="1"/>
  <c r="N21" i="8"/>
  <c r="F34" i="9"/>
  <c r="N22" i="8"/>
  <c r="K17" i="11"/>
  <c r="O6" i="8"/>
  <c r="O12" i="8" l="1"/>
  <c r="O15" i="8" s="1"/>
  <c r="O18" i="8" s="1"/>
  <c r="H18" i="11"/>
  <c r="E35" i="9"/>
  <c r="O11" i="7"/>
  <c r="O12" i="7" s="1"/>
  <c r="O12" i="4"/>
  <c r="O13" i="4" s="1"/>
  <c r="O17" i="4" s="1"/>
  <c r="P9" i="3"/>
  <c r="P6" i="7"/>
  <c r="P8" i="7" s="1"/>
  <c r="P21" i="3"/>
  <c r="C36" i="9"/>
  <c r="C19" i="11"/>
  <c r="Q16" i="3"/>
  <c r="Q28" i="3" s="1"/>
  <c r="Q15" i="3"/>
  <c r="O19" i="8"/>
  <c r="Q17" i="3" l="1"/>
  <c r="D36" i="9"/>
  <c r="D19" i="11"/>
  <c r="G19" i="11"/>
  <c r="O13" i="7"/>
  <c r="O22" i="7"/>
  <c r="O23" i="7" s="1"/>
  <c r="P7" i="8"/>
  <c r="P9" i="8" s="1"/>
  <c r="P6" i="4"/>
  <c r="N19" i="11"/>
  <c r="Q6" i="3"/>
  <c r="P27" i="3"/>
  <c r="P10" i="3"/>
  <c r="K18" i="11"/>
  <c r="O21" i="8"/>
  <c r="F35" i="9"/>
  <c r="P6" i="8"/>
  <c r="O22" i="8"/>
  <c r="O20" i="8"/>
  <c r="Q8" i="3" l="1"/>
  <c r="Q24" i="3" s="1"/>
  <c r="Q9" i="3"/>
  <c r="Q10" i="3"/>
  <c r="P8" i="4"/>
  <c r="P9" i="4"/>
  <c r="P7" i="4"/>
  <c r="B37" i="9"/>
  <c r="Q26" i="3"/>
  <c r="Q27" i="3"/>
  <c r="Q18" i="3"/>
  <c r="R13" i="3"/>
  <c r="B20" i="11"/>
  <c r="Q25" i="3"/>
  <c r="Q19" i="3"/>
  <c r="P11" i="4" l="1"/>
  <c r="P10" i="4"/>
  <c r="R15" i="3"/>
  <c r="R16" i="3" s="1"/>
  <c r="C37" i="9"/>
  <c r="C20" i="11"/>
  <c r="Q21" i="3"/>
  <c r="Q6" i="7"/>
  <c r="Q8" i="7" s="1"/>
  <c r="N20" i="11"/>
  <c r="R6" i="3"/>
  <c r="R28" i="3" l="1"/>
  <c r="R17" i="3"/>
  <c r="R8" i="3"/>
  <c r="R24" i="3" s="1"/>
  <c r="P11" i="7"/>
  <c r="P12" i="7" s="1"/>
  <c r="H19" i="11"/>
  <c r="P12" i="8"/>
  <c r="P15" i="8" s="1"/>
  <c r="E36" i="9"/>
  <c r="P12" i="4"/>
  <c r="P13" i="4" s="1"/>
  <c r="P17" i="4" s="1"/>
  <c r="D37" i="9"/>
  <c r="G20" i="11"/>
  <c r="D20" i="11"/>
  <c r="Q7" i="8"/>
  <c r="Q9" i="8" s="1"/>
  <c r="Q6" i="4"/>
  <c r="P22" i="7" l="1"/>
  <c r="P23" i="7" s="1"/>
  <c r="P13" i="7"/>
  <c r="R9" i="3"/>
  <c r="R27" i="3" s="1"/>
  <c r="P18" i="8"/>
  <c r="P19" i="8"/>
  <c r="Q9" i="4"/>
  <c r="Q8" i="4"/>
  <c r="Q7" i="4"/>
  <c r="B21" i="11"/>
  <c r="B38" i="9"/>
  <c r="S13" i="3"/>
  <c r="R26" i="3"/>
  <c r="R25" i="3"/>
  <c r="R18" i="3"/>
  <c r="R19" i="3"/>
  <c r="C21" i="11" l="1"/>
  <c r="C38" i="9"/>
  <c r="S15" i="3"/>
  <c r="S16" i="3"/>
  <c r="S17" i="3"/>
  <c r="S28" i="3"/>
  <c r="S19" i="3"/>
  <c r="Q10" i="4"/>
  <c r="Q11" i="4" s="1"/>
  <c r="K19" i="11"/>
  <c r="P22" i="8"/>
  <c r="F36" i="9"/>
  <c r="Q6" i="8"/>
  <c r="P21" i="8"/>
  <c r="R6" i="7"/>
  <c r="R8" i="7" s="1"/>
  <c r="R21" i="3"/>
  <c r="P20" i="8"/>
  <c r="N21" i="11"/>
  <c r="S6" i="3"/>
  <c r="R10" i="3"/>
  <c r="E37" i="9" l="1"/>
  <c r="Q11" i="7"/>
  <c r="Q12" i="7" s="1"/>
  <c r="H20" i="11"/>
  <c r="Q12" i="8"/>
  <c r="Q15" i="8" s="1"/>
  <c r="Q18" i="8" s="1"/>
  <c r="Q20" i="8" s="1"/>
  <c r="Q12" i="4"/>
  <c r="Q13" i="4" s="1"/>
  <c r="Q17" i="4" s="1"/>
  <c r="S6" i="7"/>
  <c r="S8" i="7" s="1"/>
  <c r="S21" i="3"/>
  <c r="S9" i="3"/>
  <c r="S8" i="3"/>
  <c r="S24" i="3" s="1"/>
  <c r="B22" i="11"/>
  <c r="B39" i="9"/>
  <c r="S25" i="3"/>
  <c r="S27" i="3"/>
  <c r="T13" i="3"/>
  <c r="S18" i="3"/>
  <c r="S26" i="3"/>
  <c r="Q19" i="8"/>
  <c r="R7" i="8"/>
  <c r="R9" i="8" s="1"/>
  <c r="R6" i="4"/>
  <c r="D21" i="11"/>
  <c r="D38" i="9"/>
  <c r="G21" i="11"/>
  <c r="T15" i="3" l="1"/>
  <c r="T16" i="3" s="1"/>
  <c r="N22" i="11"/>
  <c r="T6" i="3"/>
  <c r="S7" i="8"/>
  <c r="S9" i="8" s="1"/>
  <c r="S6" i="4"/>
  <c r="R9" i="4"/>
  <c r="R8" i="4"/>
  <c r="R7" i="4"/>
  <c r="R10" i="4"/>
  <c r="Q22" i="8"/>
  <c r="R6" i="8"/>
  <c r="Q21" i="8"/>
  <c r="F37" i="9"/>
  <c r="K20" i="11"/>
  <c r="S10" i="3"/>
  <c r="G22" i="11"/>
  <c r="D22" i="11"/>
  <c r="D39" i="9"/>
  <c r="C39" i="9"/>
  <c r="C22" i="11"/>
  <c r="Q22" i="7"/>
  <c r="Q23" i="7" s="1"/>
  <c r="Q13" i="7"/>
  <c r="T28" i="3" l="1"/>
  <c r="T17" i="3"/>
  <c r="R11" i="4"/>
  <c r="S7" i="4"/>
  <c r="S8" i="4"/>
  <c r="S9" i="4"/>
  <c r="S10" i="4"/>
  <c r="T9" i="3"/>
  <c r="T8" i="3"/>
  <c r="T24" i="3" s="1"/>
  <c r="N23" i="11" l="1"/>
  <c r="U6" i="3"/>
  <c r="S11" i="4"/>
  <c r="B23" i="11"/>
  <c r="T25" i="3"/>
  <c r="U13" i="3"/>
  <c r="T27" i="3"/>
  <c r="B40" i="9"/>
  <c r="T26" i="3"/>
  <c r="T18" i="3"/>
  <c r="T19" i="3"/>
  <c r="T10" i="3"/>
  <c r="R11" i="7"/>
  <c r="R12" i="7" s="1"/>
  <c r="E38" i="9"/>
  <c r="H21" i="11"/>
  <c r="R12" i="8"/>
  <c r="R15" i="8" s="1"/>
  <c r="R12" i="4"/>
  <c r="R13" i="4" s="1"/>
  <c r="R17" i="4" s="1"/>
  <c r="R22" i="7" l="1"/>
  <c r="R23" i="7" s="1"/>
  <c r="R13" i="7"/>
  <c r="T6" i="7"/>
  <c r="T8" i="7" s="1"/>
  <c r="T21" i="3"/>
  <c r="C23" i="11"/>
  <c r="C40" i="9"/>
  <c r="U15" i="3"/>
  <c r="H22" i="11"/>
  <c r="E39" i="9"/>
  <c r="S12" i="8"/>
  <c r="S15" i="8" s="1"/>
  <c r="S18" i="8" s="1"/>
  <c r="S11" i="7"/>
  <c r="S12" i="7" s="1"/>
  <c r="S12" i="4"/>
  <c r="S13" i="4" s="1"/>
  <c r="S17" i="4" s="1"/>
  <c r="R18" i="8"/>
  <c r="R19" i="8"/>
  <c r="U8" i="3"/>
  <c r="U24" i="3" s="1"/>
  <c r="U28" i="3" l="1"/>
  <c r="U16" i="3"/>
  <c r="U17" i="3" s="1"/>
  <c r="U9" i="3"/>
  <c r="R22" i="8"/>
  <c r="F38" i="9"/>
  <c r="S6" i="8"/>
  <c r="S19" i="8" s="1"/>
  <c r="K21" i="11"/>
  <c r="R21" i="8"/>
  <c r="T7" i="8"/>
  <c r="T9" i="8" s="1"/>
  <c r="T6" i="4"/>
  <c r="R20" i="8"/>
  <c r="D40" i="9"/>
  <c r="D23" i="11"/>
  <c r="G23" i="11"/>
  <c r="S22" i="7"/>
  <c r="S23" i="7" s="1"/>
  <c r="S13" i="7"/>
  <c r="T9" i="4" l="1"/>
  <c r="T8" i="4"/>
  <c r="T7" i="4"/>
  <c r="T10" i="4"/>
  <c r="S22" i="8"/>
  <c r="F39" i="9"/>
  <c r="T6" i="8"/>
  <c r="S21" i="8"/>
  <c r="K22" i="11"/>
  <c r="N24" i="11"/>
  <c r="V6" i="3"/>
  <c r="U10" i="3"/>
  <c r="B41" i="9"/>
  <c r="B24" i="11"/>
  <c r="U27" i="3"/>
  <c r="U18" i="3"/>
  <c r="V13" i="3"/>
  <c r="U25" i="3"/>
  <c r="U26" i="3"/>
  <c r="U19" i="3"/>
  <c r="S20" i="8"/>
  <c r="V8" i="3" l="1"/>
  <c r="V24" i="3" s="1"/>
  <c r="U6" i="7"/>
  <c r="U8" i="7" s="1"/>
  <c r="U21" i="3"/>
  <c r="V15" i="3"/>
  <c r="V16" i="3" s="1"/>
  <c r="T11" i="4"/>
  <c r="C24" i="11"/>
  <c r="C41" i="9"/>
  <c r="V17" i="3" l="1"/>
  <c r="V28" i="3"/>
  <c r="H23" i="11"/>
  <c r="T12" i="8"/>
  <c r="T15" i="8" s="1"/>
  <c r="E40" i="9"/>
  <c r="T11" i="7"/>
  <c r="T12" i="7" s="1"/>
  <c r="T12" i="4"/>
  <c r="T13" i="4" s="1"/>
  <c r="T17" i="4" s="1"/>
  <c r="U7" i="8"/>
  <c r="U9" i="8" s="1"/>
  <c r="U6" i="4"/>
  <c r="D41" i="9"/>
  <c r="G24" i="11"/>
  <c r="D24" i="11"/>
  <c r="V9" i="3"/>
  <c r="B25" i="11" l="1"/>
  <c r="B42" i="9"/>
  <c r="V27" i="3"/>
  <c r="V26" i="3"/>
  <c r="V25" i="3"/>
  <c r="W13" i="3"/>
  <c r="V18" i="3"/>
  <c r="V19" i="3"/>
  <c r="N25" i="11"/>
  <c r="W6" i="3"/>
  <c r="V10" i="3"/>
  <c r="U8" i="4"/>
  <c r="U7" i="4"/>
  <c r="U9" i="4"/>
  <c r="T13" i="7"/>
  <c r="T22" i="7"/>
  <c r="T23" i="7" s="1"/>
  <c r="T18" i="8"/>
  <c r="T19" i="8"/>
  <c r="U11" i="4" l="1"/>
  <c r="W8" i="3"/>
  <c r="W24" i="3" s="1"/>
  <c r="W9" i="3"/>
  <c r="W10" i="3" s="1"/>
  <c r="V6" i="7"/>
  <c r="V8" i="7" s="1"/>
  <c r="V21" i="3"/>
  <c r="C42" i="9"/>
  <c r="C25" i="11"/>
  <c r="K23" i="11"/>
  <c r="F40" i="9"/>
  <c r="T21" i="8"/>
  <c r="U6" i="8"/>
  <c r="T22" i="8"/>
  <c r="W15" i="3"/>
  <c r="W17" i="3" s="1"/>
  <c r="W16" i="3"/>
  <c r="T20" i="8"/>
  <c r="U10" i="4"/>
  <c r="B26" i="11" l="1"/>
  <c r="B43" i="9"/>
  <c r="W25" i="3"/>
  <c r="W26" i="3"/>
  <c r="X13" i="3"/>
  <c r="W18" i="3"/>
  <c r="W27" i="3"/>
  <c r="W19" i="3"/>
  <c r="G25" i="11"/>
  <c r="D25" i="11"/>
  <c r="D42" i="9"/>
  <c r="W28" i="3"/>
  <c r="V7" i="8"/>
  <c r="V9" i="8" s="1"/>
  <c r="V6" i="4"/>
  <c r="N26" i="11"/>
  <c r="X6" i="3"/>
  <c r="U12" i="8"/>
  <c r="U15" i="8" s="1"/>
  <c r="U18" i="8" s="1"/>
  <c r="U11" i="7"/>
  <c r="U12" i="7" s="1"/>
  <c r="E41" i="9"/>
  <c r="H24" i="11"/>
  <c r="U12" i="4"/>
  <c r="U13" i="4" s="1"/>
  <c r="U17" i="4" s="1"/>
  <c r="U19" i="8"/>
  <c r="X15" i="3" l="1"/>
  <c r="F41" i="9"/>
  <c r="V6" i="8"/>
  <c r="U21" i="8"/>
  <c r="U22" i="8"/>
  <c r="K24" i="11"/>
  <c r="U20" i="8"/>
  <c r="X8" i="3"/>
  <c r="X24" i="3" s="1"/>
  <c r="X9" i="3"/>
  <c r="X10" i="3"/>
  <c r="W6" i="7"/>
  <c r="W8" i="7" s="1"/>
  <c r="W21" i="3"/>
  <c r="C26" i="11"/>
  <c r="C43" i="9"/>
  <c r="U22" i="7"/>
  <c r="U23" i="7" s="1"/>
  <c r="U13" i="7"/>
  <c r="V8" i="4"/>
  <c r="V7" i="4"/>
  <c r="V9" i="4"/>
  <c r="V10" i="4"/>
  <c r="X28" i="3" l="1"/>
  <c r="W7" i="8"/>
  <c r="W9" i="8" s="1"/>
  <c r="W6" i="4"/>
  <c r="D26" i="11"/>
  <c r="D43" i="9"/>
  <c r="G26" i="11"/>
  <c r="N27" i="11"/>
  <c r="Y6" i="3"/>
  <c r="V11" i="4"/>
  <c r="X16" i="3"/>
  <c r="X17" i="3" s="1"/>
  <c r="B44" i="9" l="1"/>
  <c r="Y13" i="3"/>
  <c r="X26" i="3"/>
  <c r="B27" i="11"/>
  <c r="X25" i="3"/>
  <c r="X18" i="3"/>
  <c r="X27" i="3"/>
  <c r="X19" i="3"/>
  <c r="Y8" i="3"/>
  <c r="Y24" i="3" s="1"/>
  <c r="Y9" i="3"/>
  <c r="V12" i="8"/>
  <c r="V15" i="8" s="1"/>
  <c r="H25" i="11"/>
  <c r="V11" i="7"/>
  <c r="V12" i="7" s="1"/>
  <c r="E42" i="9"/>
  <c r="V12" i="4"/>
  <c r="V13" i="4" s="1"/>
  <c r="V17" i="4" s="1"/>
  <c r="W8" i="4"/>
  <c r="W9" i="4"/>
  <c r="W7" i="4"/>
  <c r="V13" i="7" l="1"/>
  <c r="V22" i="7"/>
  <c r="V23" i="7" s="1"/>
  <c r="V18" i="8"/>
  <c r="V19" i="8"/>
  <c r="N28" i="11"/>
  <c r="G5" i="9"/>
  <c r="Y10" i="3"/>
  <c r="X6" i="7"/>
  <c r="X8" i="7" s="1"/>
  <c r="X21" i="3"/>
  <c r="C44" i="9"/>
  <c r="C27" i="11"/>
  <c r="W10" i="4"/>
  <c r="W11" i="4" s="1"/>
  <c r="Y28" i="3"/>
  <c r="Y15" i="3"/>
  <c r="Y16" i="3"/>
  <c r="Y17" i="3"/>
  <c r="W11" i="7" l="1"/>
  <c r="W12" i="7" s="1"/>
  <c r="H26" i="11"/>
  <c r="E43" i="9"/>
  <c r="W12" i="8"/>
  <c r="W15" i="8" s="1"/>
  <c r="W18" i="8" s="1"/>
  <c r="W20" i="8" s="1"/>
  <c r="W12" i="4"/>
  <c r="W13" i="4" s="1"/>
  <c r="W17" i="4" s="1"/>
  <c r="X7" i="8"/>
  <c r="X9" i="8" s="1"/>
  <c r="X6" i="4"/>
  <c r="D44" i="9"/>
  <c r="G27" i="11"/>
  <c r="D27" i="11"/>
  <c r="B28" i="11"/>
  <c r="B45" i="9"/>
  <c r="Y26" i="3"/>
  <c r="Y25" i="3"/>
  <c r="D5" i="9"/>
  <c r="Y27" i="3"/>
  <c r="Y18" i="3"/>
  <c r="K25" i="11"/>
  <c r="V21" i="8"/>
  <c r="F42" i="9"/>
  <c r="V22" i="8"/>
  <c r="W6" i="8"/>
  <c r="W19" i="8" s="1"/>
  <c r="V20" i="8"/>
  <c r="Y19" i="3"/>
  <c r="Y6" i="7" l="1"/>
  <c r="Y8" i="7" s="1"/>
  <c r="Y21" i="3"/>
  <c r="X6" i="8"/>
  <c r="F43" i="9"/>
  <c r="K26" i="11"/>
  <c r="W22" i="8"/>
  <c r="W21" i="8"/>
  <c r="X8" i="4"/>
  <c r="X7" i="4"/>
  <c r="X9" i="4"/>
  <c r="E6" i="10"/>
  <c r="E5" i="10"/>
  <c r="A5" i="9"/>
  <c r="C28" i="11"/>
  <c r="C45" i="9"/>
  <c r="E4" i="10"/>
  <c r="B15" i="9"/>
  <c r="W22" i="7"/>
  <c r="W23" i="7" s="1"/>
  <c r="W13" i="7"/>
  <c r="X10" i="4" l="1"/>
  <c r="X11" i="4" s="1"/>
  <c r="Y6" i="4"/>
  <c r="Y7" i="8"/>
  <c r="Y9" i="8" s="1"/>
  <c r="G28" i="11"/>
  <c r="D28" i="11"/>
  <c r="D45" i="9"/>
  <c r="E44" i="9" l="1"/>
  <c r="H27" i="11"/>
  <c r="X12" i="8"/>
  <c r="X15" i="8" s="1"/>
  <c r="X11" i="7"/>
  <c r="X12" i="7" s="1"/>
  <c r="X12" i="4"/>
  <c r="X13" i="4" s="1"/>
  <c r="X17" i="4" s="1"/>
  <c r="Y7" i="4"/>
  <c r="Y9" i="4"/>
  <c r="Y8" i="4"/>
  <c r="Y10" i="4" s="1"/>
  <c r="Y11" i="4" l="1"/>
  <c r="X13" i="7"/>
  <c r="X22" i="7"/>
  <c r="X23" i="7" s="1"/>
  <c r="X18" i="8"/>
  <c r="X20" i="8" s="1"/>
  <c r="X19" i="8"/>
  <c r="Y6" i="8" l="1"/>
  <c r="X21" i="8"/>
  <c r="X22" i="8"/>
  <c r="K27" i="11"/>
  <c r="F44" i="9"/>
  <c r="E45" i="9"/>
  <c r="Y11" i="7"/>
  <c r="Y12" i="7" s="1"/>
  <c r="H28" i="11"/>
  <c r="Y12" i="8"/>
  <c r="Y15" i="8" s="1"/>
  <c r="Y18" i="8" s="1"/>
  <c r="Y20" i="8" s="1"/>
  <c r="Y12" i="4"/>
  <c r="Y13" i="4" s="1"/>
  <c r="Y17" i="4" s="1"/>
  <c r="Y13" i="7" l="1"/>
  <c r="Y22" i="7"/>
  <c r="Y23" i="7" s="1"/>
  <c r="D10" i="9" s="1"/>
  <c r="Y19" i="8"/>
  <c r="K28" i="11" l="1"/>
  <c r="F5" i="10"/>
  <c r="G5" i="10" s="1"/>
  <c r="F4" i="10"/>
  <c r="G4" i="10" s="1"/>
  <c r="F45" i="9"/>
  <c r="Y22" i="8"/>
  <c r="J5" i="9"/>
  <c r="Y21" i="8"/>
  <c r="J10" i="9" s="1"/>
  <c r="F6" i="10"/>
  <c r="G6" i="10" s="1"/>
  <c r="G10" i="9"/>
  <c r="A10" i="9"/>
  <c r="B16" i="9"/>
  <c r="B17" i="9"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<sst xmlns="http://schemas.openxmlformats.org/spreadsheetml/2006/main" count="627" uniqueCount="393">
  <si>
    <t>Cloud.AI SaaS Financial Model</t>
  </si>
  <si>
    <t>Model type</t>
  </si>
  <si>
    <t>24-month B2B SaaS operating model</t>
  </si>
  <si>
    <t>Currency</t>
  </si>
  <si>
    <t>USD</t>
  </si>
  <si>
    <t>Forecast period</t>
  </si>
  <si>
    <t>May-2026 to Apr-2028</t>
  </si>
  <si>
    <t>Revenue model</t>
  </si>
  <si>
    <t>Monthly subscription SaaS</t>
  </si>
  <si>
    <t>Prepared for</t>
  </si>
  <si>
    <t>Founder / investor review</t>
  </si>
  <si>
    <t>Key logic</t>
  </si>
  <si>
    <t>Driver-based customer, MRR, ARR, COGS, opex, cash, and SaaS KPIs</t>
  </si>
  <si>
    <t>Model quality</t>
  </si>
  <si>
    <t>Inputs separated from formulas; key outputs summarized in dashboard</t>
  </si>
  <si>
    <t>Important note</t>
  </si>
  <si>
    <t>Demo model based on user-provided assumptions and clearly marked GPT assumptions</t>
  </si>
  <si>
    <t>Color Legend</t>
  </si>
  <si>
    <t>Blue font / yellow fill</t>
  </si>
  <si>
    <t>Hardcoded input or editable assumption</t>
  </si>
  <si>
    <t>Black font</t>
  </si>
  <si>
    <t>Formula calculation</t>
  </si>
  <si>
    <t>Green font</t>
  </si>
  <si>
    <t>Link from another sheet</t>
  </si>
  <si>
    <t>Red / amber flags</t>
  </si>
  <si>
    <t>Risk or warning area</t>
  </si>
  <si>
    <t>Cloud.AI Model Assumptions</t>
  </si>
  <si>
    <t>Input / Driver</t>
  </si>
  <si>
    <t>Unit</t>
  </si>
  <si>
    <t>Value</t>
  </si>
  <si>
    <t>Source</t>
  </si>
  <si>
    <t>Notes</t>
  </si>
  <si>
    <t>MODEL SETUP</t>
  </si>
  <si>
    <t>Company name</t>
  </si>
  <si>
    <t>text</t>
  </si>
  <si>
    <t>Cloud.AI</t>
  </si>
  <si>
    <t>User provided</t>
  </si>
  <si>
    <t>B2B SaaS company</t>
  </si>
  <si>
    <t>Forecast start month</t>
  </si>
  <si>
    <t>date</t>
  </si>
  <si>
    <t>Adjust if needed</t>
  </si>
  <si>
    <t>months</t>
  </si>
  <si>
    <t>Monthly forecast</t>
  </si>
  <si>
    <t>Starting cash</t>
  </si>
  <si>
    <t>$</t>
  </si>
  <si>
    <t>Opening cash balance</t>
  </si>
  <si>
    <t>Minimum cash threshold</t>
  </si>
  <si>
    <t>Used for funding need</t>
  </si>
  <si>
    <t>REVENUE DRIVERS</t>
  </si>
  <si>
    <t>Starting customers</t>
  </si>
  <si>
    <t>customers</t>
  </si>
  <si>
    <t>Opening customer count</t>
  </si>
  <si>
    <t>Starting MRR</t>
  </si>
  <si>
    <t>Starting recurring revenue</t>
  </si>
  <si>
    <t>Starting ARPU</t>
  </si>
  <si>
    <t>$ / customer / month</t>
  </si>
  <si>
    <t>Must tie to starting MRR / customers</t>
  </si>
  <si>
    <t>ARPU consistency check</t>
  </si>
  <si>
    <t>Formula</t>
  </si>
  <si>
    <t>Starting MRR ÷ customers</t>
  </si>
  <si>
    <t>Month 1 new customers</t>
  </si>
  <si>
    <t>New customers in first forecast month</t>
  </si>
  <si>
    <t>New customer growth</t>
  </si>
  <si>
    <t>MoM %</t>
  </si>
  <si>
    <t>New customer adds grow monthly</t>
  </si>
  <si>
    <t>Monthly customer churn</t>
  </si>
  <si>
    <t>%</t>
  </si>
  <si>
    <t>Customer churn</t>
  </si>
  <si>
    <t>Monthly expansion / price uplift</t>
  </si>
  <si>
    <t>Optional expansion logic</t>
  </si>
  <si>
    <t>Onboarding / services fee</t>
  </si>
  <si>
    <t>$ per new customer</t>
  </si>
  <si>
    <t>Zero for pure monthly SaaS</t>
  </si>
  <si>
    <t>COGS / GROSS MARGIN</t>
  </si>
  <si>
    <t>Gross margin target</t>
  </si>
  <si>
    <t>Target gross margin</t>
  </si>
  <si>
    <t>Hosting / cloud cost</t>
  </si>
  <si>
    <t>% revenue</t>
  </si>
  <si>
    <t>Part of COGS</t>
  </si>
  <si>
    <t>Third-party software COGS</t>
  </si>
  <si>
    <t>Payment processing</t>
  </si>
  <si>
    <t>Customer support / implementation COGS</t>
  </si>
  <si>
    <t>balancing bucket</t>
  </si>
  <si>
    <t>Formula-driven</t>
  </si>
  <si>
    <t>GPT model logic</t>
  </si>
  <si>
    <t>Used in COGS sheet to reach gross margin target after specific COGS buckets</t>
  </si>
  <si>
    <t>HEADCOUNT ASSUMPTIONS</t>
  </si>
  <si>
    <t>Payroll tax and benefits</t>
  </si>
  <si>
    <t>% salary</t>
  </si>
  <si>
    <t>Fully loaded cost assumption</t>
  </si>
  <si>
    <t>Annual salary inflation</t>
  </si>
  <si>
    <t>Applied every 12 months</t>
  </si>
  <si>
    <t>OPEX ASSUMPTIONS</t>
  </si>
  <si>
    <t>S&amp;M base tools / events</t>
  </si>
  <si>
    <t>$ / month</t>
  </si>
  <si>
    <t>Non-payroll S&amp;M</t>
  </si>
  <si>
    <t>Paid acquisition spend</t>
  </si>
  <si>
    <t>$ / new customer</t>
  </si>
  <si>
    <t>Variable CAC driver</t>
  </si>
  <si>
    <t>R&amp;D tools baseline</t>
  </si>
  <si>
    <t>Non-payroll R&amp;D</t>
  </si>
  <si>
    <t>G&amp;A admin baseline</t>
  </si>
  <si>
    <t>Non-payroll G&amp;A</t>
  </si>
  <si>
    <t>Non-payroll opex growth</t>
  </si>
  <si>
    <t>Monthly escalation</t>
  </si>
  <si>
    <t>One-time legal/compliance month</t>
  </si>
  <si>
    <t>month #</t>
  </si>
  <si>
    <t>Month number for one-time spend</t>
  </si>
  <si>
    <t>One-time legal/compliance spend</t>
  </si>
  <si>
    <t>One-time cost</t>
  </si>
  <si>
    <t>CASH ASSUMPTIONS</t>
  </si>
  <si>
    <t>Monthly cash collection rate</t>
  </si>
  <si>
    <t>Monthly billing = 100% collection</t>
  </si>
  <si>
    <t>Monthly capex</t>
  </si>
  <si>
    <t>Set if applicable</t>
  </si>
  <si>
    <t>Planned equity funding</t>
  </si>
  <si>
    <t>Optional funding</t>
  </si>
  <si>
    <t>Funding month</t>
  </si>
  <si>
    <t>0 = none</t>
  </si>
  <si>
    <t>Revenue Model</t>
  </si>
  <si>
    <t>Driver-based customer build, MRR, ARR, churn, expansion, and services revenue</t>
  </si>
  <si>
    <t>Line Item</t>
  </si>
  <si>
    <t>May-26</t>
  </si>
  <si>
    <t>Jun-26</t>
  </si>
  <si>
    <t>Jul-26</t>
  </si>
  <si>
    <t>Aug-26</t>
  </si>
  <si>
    <t>Sep-26</t>
  </si>
  <si>
    <t>Oct-26</t>
  </si>
  <si>
    <t>Nov-26</t>
  </si>
  <si>
    <t>Dec-26</t>
  </si>
  <si>
    <t>Jan-27</t>
  </si>
  <si>
    <t>Feb-27</t>
  </si>
  <si>
    <t>Mar-27</t>
  </si>
  <si>
    <t>Apr-27</t>
  </si>
  <si>
    <t>May-27</t>
  </si>
  <si>
    <t>Jun-27</t>
  </si>
  <si>
    <t>Jul-27</t>
  </si>
  <si>
    <t>Aug-27</t>
  </si>
  <si>
    <t>Sep-27</t>
  </si>
  <si>
    <t>Oct-27</t>
  </si>
  <si>
    <t>Nov-27</t>
  </si>
  <si>
    <t>Dec-27</t>
  </si>
  <si>
    <t>Jan-28</t>
  </si>
  <si>
    <t>Feb-28</t>
  </si>
  <si>
    <t>Mar-28</t>
  </si>
  <si>
    <t>Apr-28</t>
  </si>
  <si>
    <t>Customer Build</t>
  </si>
  <si>
    <t>Opening Customers</t>
  </si>
  <si>
    <t>New Customers</t>
  </si>
  <si>
    <t>Churned Customers</t>
  </si>
  <si>
    <t>Ending Customers</t>
  </si>
  <si>
    <t>Average Customers</t>
  </si>
  <si>
    <t>MRR and Revenue Build</t>
  </si>
  <si>
    <t>Opening MRR</t>
  </si>
  <si>
    <t>New MRR</t>
  </si>
  <si>
    <t>Churned MRR</t>
  </si>
  <si>
    <t>Expansion MRR</t>
  </si>
  <si>
    <t>Ending MRR</t>
  </si>
  <si>
    <t>ARR</t>
  </si>
  <si>
    <t>Recognized Subscription Revenue</t>
  </si>
  <si>
    <t>Onboarding / Services Revenue</t>
  </si>
  <si>
    <t>Total Revenue</t>
  </si>
  <si>
    <t>SaaS Metrics</t>
  </si>
  <si>
    <t>Customer Churn %</t>
  </si>
  <si>
    <t>MRR Growth %</t>
  </si>
  <si>
    <t>Net New MRR</t>
  </si>
  <si>
    <t>ARPU</t>
  </si>
  <si>
    <t>Net Revenue Retention %</t>
  </si>
  <si>
    <t>COGS and Gross Margin</t>
  </si>
  <si>
    <t>COGS built from revenue-linked drivers and implementation support assumptions</t>
  </si>
  <si>
    <t>COGS Build</t>
  </si>
  <si>
    <t>Subscription Revenue</t>
  </si>
  <si>
    <t>Hosting / Cloud COGS</t>
  </si>
  <si>
    <t>Third-party Software COGS</t>
  </si>
  <si>
    <t>Payment Processing</t>
  </si>
  <si>
    <t>Customer Support / Implementation COGS</t>
  </si>
  <si>
    <t>Total COGS</t>
  </si>
  <si>
    <t>Gross Profit</t>
  </si>
  <si>
    <t>Gross Margin %</t>
  </si>
  <si>
    <t>Target Check</t>
  </si>
  <si>
    <t>Target Gross Margin %</t>
  </si>
  <si>
    <t>Variance vs Target</t>
  </si>
  <si>
    <t>Headcount Plan</t>
  </si>
  <si>
    <t>Department-level team plan with salary and benefits assumptions</t>
  </si>
  <si>
    <t>Month #</t>
  </si>
  <si>
    <t>Headcount by Department</t>
  </si>
  <si>
    <t>Sales &amp; Marketing HC</t>
  </si>
  <si>
    <t>R&amp;D / Product HC</t>
  </si>
  <si>
    <t>G&amp;A HC</t>
  </si>
  <si>
    <t>Total Headcount</t>
  </si>
  <si>
    <t>Payroll Cost by Department</t>
  </si>
  <si>
    <t>Sales &amp; Marketing Payroll</t>
  </si>
  <si>
    <t>R&amp;D / Product Payroll</t>
  </si>
  <si>
    <t>G&amp;A Payroll</t>
  </si>
  <si>
    <t>Total Payroll</t>
  </si>
  <si>
    <t>Role Plan Reference</t>
  </si>
  <si>
    <t>Role</t>
  </si>
  <si>
    <t>Department</t>
  </si>
  <si>
    <t>Start Month</t>
  </si>
  <si>
    <t>Monthly Salary</t>
  </si>
  <si>
    <t>AE / Growth Lead</t>
  </si>
  <si>
    <t>Sales &amp; Marketing</t>
  </si>
  <si>
    <t>GTM owner</t>
  </si>
  <si>
    <t>Customer Success Manager</t>
  </si>
  <si>
    <t>Retention / onboarding</t>
  </si>
  <si>
    <t>Product Engineer 1</t>
  </si>
  <si>
    <t>R&amp;D / Product</t>
  </si>
  <si>
    <t>Core product</t>
  </si>
  <si>
    <t>Product Engineer 2</t>
  </si>
  <si>
    <t>Scale support</t>
  </si>
  <si>
    <t>Product Designer</t>
  </si>
  <si>
    <t>Product UX</t>
  </si>
  <si>
    <t>Finance &amp; Ops Manager</t>
  </si>
  <si>
    <t>G&amp;A</t>
  </si>
  <si>
    <t>Ops / finance</t>
  </si>
  <si>
    <t>Admin / People Ops</t>
  </si>
  <si>
    <t>Admin support</t>
  </si>
  <si>
    <t>Operating Expenses</t>
  </si>
  <si>
    <t>Payroll and non-payroll operating expenses by department</t>
  </si>
  <si>
    <t>S&amp;M Payroll</t>
  </si>
  <si>
    <t>S&amp;M Base Tools / Events</t>
  </si>
  <si>
    <t>Paid Acquisition Spend</t>
  </si>
  <si>
    <t>Total Sales &amp; Marketing</t>
  </si>
  <si>
    <t>R&amp;D Payroll</t>
  </si>
  <si>
    <t>R&amp;D Tools</t>
  </si>
  <si>
    <t>Total R&amp;D</t>
  </si>
  <si>
    <t>G&amp;A Admin</t>
  </si>
  <si>
    <t>One-time Legal / Compliance</t>
  </si>
  <si>
    <t>Total G&amp;A</t>
  </si>
  <si>
    <t>Total Opex</t>
  </si>
  <si>
    <t>Total Non-Payroll Opex</t>
  </si>
  <si>
    <t>P&amp;L Forecast</t>
  </si>
  <si>
    <t>Monthly P&amp;L forecast with revenue, gross profit, EBITDA, and margin analysis</t>
  </si>
  <si>
    <t>Revenue</t>
  </si>
  <si>
    <t>COGS</t>
  </si>
  <si>
    <t>Profitability</t>
  </si>
  <si>
    <t>EBITDA</t>
  </si>
  <si>
    <t>EBITDA Margin %</t>
  </si>
  <si>
    <t>Cash Runway</t>
  </si>
  <si>
    <t>Cash flow, burn, runway, and funding need</t>
  </si>
  <si>
    <t>Cash Flow</t>
  </si>
  <si>
    <t>Opening Cash</t>
  </si>
  <si>
    <t>Cash Collections</t>
  </si>
  <si>
    <t>Planned Equity Funding</t>
  </si>
  <si>
    <t>Total Cash Inflows</t>
  </si>
  <si>
    <t>Cash Outflows</t>
  </si>
  <si>
    <t>COGS Cash Outflow</t>
  </si>
  <si>
    <t>Opex Cash Outflow</t>
  </si>
  <si>
    <t>Capex</t>
  </si>
  <si>
    <t>Total Cash Outflows</t>
  </si>
  <si>
    <t>Burn and Runway</t>
  </si>
  <si>
    <t>Net Burn</t>
  </si>
  <si>
    <t>Ending Cash</t>
  </si>
  <si>
    <t>Runway (months)</t>
  </si>
  <si>
    <t>Funding Need to Minimum Cash</t>
  </si>
  <si>
    <t>Cash Status</t>
  </si>
  <si>
    <t>Cloud.AI SaaS KPI Dashboard</t>
  </si>
  <si>
    <t>Founder-friendly view of growth, profitability, runway, and SaaS metrics</t>
  </si>
  <si>
    <t>Ending ARR</t>
  </si>
  <si>
    <t>Annualized recurring revenue</t>
  </si>
  <si>
    <t>Monthly recurring revenue</t>
  </si>
  <si>
    <t>Customer count</t>
  </si>
  <si>
    <t>Liquidity position</t>
  </si>
  <si>
    <t>Gross Margin</t>
  </si>
  <si>
    <t>EBITDA Margin</t>
  </si>
  <si>
    <t>LTV:CAC</t>
  </si>
  <si>
    <t>Funding Need</t>
  </si>
  <si>
    <t>Quality of revenue</t>
  </si>
  <si>
    <t>Operating profitability</t>
  </si>
  <si>
    <t>Unit economics</t>
  </si>
  <si>
    <t>Cash needed to keep minimum balance</t>
  </si>
  <si>
    <t>Plain-English Takeaways</t>
  </si>
  <si>
    <t>Growth</t>
  </si>
  <si>
    <t>Margin</t>
  </si>
  <si>
    <t>Cash</t>
  </si>
  <si>
    <t>Action</t>
  </si>
  <si>
    <t>Review hiring pace, CAC spend, pricing/expansion, and financing timing before investor use.</t>
  </si>
  <si>
    <t>Month</t>
  </si>
  <si>
    <t>MRR</t>
  </si>
  <si>
    <t>Total Expenses</t>
  </si>
  <si>
    <t>Scenario Analysis</t>
  </si>
  <si>
    <t>Scenario</t>
  </si>
  <si>
    <t>New Customer Growth</t>
  </si>
  <si>
    <t>Monthly Churn</t>
  </si>
  <si>
    <t>ARPU Uplift</t>
  </si>
  <si>
    <t>Comment</t>
  </si>
  <si>
    <t>Conservative</t>
  </si>
  <si>
    <t>Slower acquisition, higher churn</t>
  </si>
  <si>
    <t>Base Case</t>
  </si>
  <si>
    <t>Matches core model</t>
  </si>
  <si>
    <t>Optimistic</t>
  </si>
  <si>
    <t>Faster acquisition, lower churn</t>
  </si>
  <si>
    <t>Charts</t>
  </si>
  <si>
    <t>Clean chart sheet with helper data on the left and large charts on the right to avoid overlapping labels</t>
  </si>
  <si>
    <t>Model Commentary</t>
  </si>
  <si>
    <t>Area</t>
  </si>
  <si>
    <t>Observation</t>
  </si>
  <si>
    <t>Why It Matters</t>
  </si>
  <si>
    <t>Suggested Action</t>
  </si>
  <si>
    <t>Growth is driven by new customers, churn, and small monthly expansion.</t>
  </si>
  <si>
    <t>This makes the model more realistic than manually entered revenue.</t>
  </si>
  <si>
    <t>Validate customer acquisition and churn with actual pipeline data.</t>
  </si>
  <si>
    <t>Gross margin is built from hosting, third-party COGS, payment processing, and implementation support.</t>
  </si>
  <si>
    <t>Investors will check whether margin assumptions are believable.</t>
  </si>
  <si>
    <t>Replace placeholder COGS rates with actual vendor data.</t>
  </si>
  <si>
    <t>Opex</t>
  </si>
  <si>
    <t>Opex is separated into payroll and non-payroll spend.</t>
  </si>
  <si>
    <t>This makes burn and runway easier to audit.</t>
  </si>
  <si>
    <t>Review hiring plan and CAC spend before using externally.</t>
  </si>
  <si>
    <t>The model flags funding need when cash goes below the minimum threshold.</t>
  </si>
  <si>
    <t>Runway is usually the most important founder-level output.</t>
  </si>
  <si>
    <t>Add planned financing if a fundraise is expected.</t>
  </si>
  <si>
    <t>Dashboard</t>
  </si>
  <si>
    <t>Charts and KPI cards are separated from detailed model tabs.</t>
  </si>
  <si>
    <t>This prevents chart labels from overlapping the core calculations.</t>
  </si>
  <si>
    <t>Use the dashboard for presentation, and the model tabs for audit.</t>
  </si>
  <si>
    <t>Assumption</t>
  </si>
  <si>
    <t>Cloud.AI Board Analysis</t>
  </si>
  <si>
    <t>Founder-friendly board review tied to the actual model outputs.</t>
  </si>
  <si>
    <t>1. Executive Summary</t>
  </si>
  <si>
    <t>Cash runway</t>
  </si>
  <si>
    <t>SaaS health</t>
  </si>
  <si>
    <t>2. Growth Analysis</t>
  </si>
  <si>
    <t>MRR / ARR</t>
  </si>
  <si>
    <t>Customers</t>
  </si>
  <si>
    <t>New customers</t>
  </si>
  <si>
    <t>Churn</t>
  </si>
  <si>
    <t>Expansion / NRR</t>
  </si>
  <si>
    <t>3. Profitability Analysis</t>
  </si>
  <si>
    <t>Gross margin</t>
  </si>
  <si>
    <t>Operating expenses</t>
  </si>
  <si>
    <t>Cost areas</t>
  </si>
  <si>
    <t>Step costs</t>
  </si>
  <si>
    <t>4. Cash Runway Analysis</t>
  </si>
  <si>
    <t>Starting / ending cash</t>
  </si>
  <si>
    <t>Monthly burn</t>
  </si>
  <si>
    <t>Runway timing</t>
  </si>
  <si>
    <t>Funding need</t>
  </si>
  <si>
    <t>5. SaaS KPI Analysis</t>
  </si>
  <si>
    <t>Churn / NRR</t>
  </si>
  <si>
    <t>CAC payback</t>
  </si>
  <si>
    <t>Burn multiple</t>
  </si>
  <si>
    <t>Rule of 40</t>
  </si>
  <si>
    <t>6. Scenario Analysis</t>
  </si>
  <si>
    <t>Base case</t>
  </si>
  <si>
    <t>Board view</t>
  </si>
  <si>
    <t>Use the base case for operating decisions, but size financing against the conservative case because the cash gap is sensitive to acquisition and churn.</t>
  </si>
  <si>
    <t>7. Key Risks</t>
  </si>
  <si>
    <t>RED</t>
  </si>
  <si>
    <t>Liquidity / funding timing</t>
  </si>
  <si>
    <t>AMBER</t>
  </si>
  <si>
    <t>NRR below 100%</t>
  </si>
  <si>
    <t>Churn scales with base</t>
  </si>
  <si>
    <t>Opex / hiring pace</t>
  </si>
  <si>
    <t>GREEN</t>
  </si>
  <si>
    <t>Gross margin quality</t>
  </si>
  <si>
    <t>Scenario dependence</t>
  </si>
  <si>
    <t>8. Recommended Actions</t>
  </si>
  <si>
    <t>Start fundraising preparation now and size the raise above the modeled maximum funding need.</t>
  </si>
  <si>
    <t>Review hiring and discretionary opex before the burn peak; gate spend to cash milestones.</t>
  </si>
  <si>
    <t>Create a retention and expansion plan to push NRR above 100%.</t>
  </si>
  <si>
    <t>Tie paid acquisition budget to CAC payback, pipeline conversion, and churn by cohort.</t>
  </si>
  <si>
    <t>Create a monthly board KPI pack tracking ARR, NRR, burn, runway, and scenario movement.</t>
  </si>
  <si>
    <t>9. Board Discussion Points</t>
  </si>
  <si>
    <t>Should we raise before cash drops below the minimum threshold, and how much buffer should we add?</t>
  </si>
  <si>
    <t>What actions will move NRR from below 100% to expansion-led growth?</t>
  </si>
  <si>
    <t>Can GTM sustain 5% monthly growth in new customer additions without CAC deterioration?</t>
  </si>
  <si>
    <t>Which opex commitments can be delayed or gated until cash position improves?</t>
  </si>
  <si>
    <t>Should the base case or conservative case drive the financing plan?</t>
  </si>
  <si>
    <t>Slide No</t>
  </si>
  <si>
    <t>Slide Title</t>
  </si>
  <si>
    <t>Key Message</t>
  </si>
  <si>
    <t>Supporting Metrics</t>
  </si>
  <si>
    <t>Chart Reference</t>
  </si>
  <si>
    <t>Speaker Notes</t>
  </si>
  <si>
    <t>Executive Summary</t>
  </si>
  <si>
    <t>Revenue Growth</t>
  </si>
  <si>
    <t>Customer Growth &amp; Churn</t>
  </si>
  <si>
    <t>Profitability Trend</t>
  </si>
  <si>
    <t>SaaS KPI Review</t>
  </si>
  <si>
    <t>Key Risks</t>
  </si>
  <si>
    <t>Recommended Actions</t>
  </si>
  <si>
    <t>Board Discussion Questions</t>
  </si>
  <si>
    <t>Charts sheet: ARR / MRR growth chart fed by Charts!A4:D28, plus KPI dashboard tiles.</t>
  </si>
  <si>
    <t>Charts sheet: ARR / MRR / revenue trend chart fed by Charts!A4:D28.</t>
  </si>
  <si>
    <t>Charts sheet: Ending customer trend chart fed by Charts!M4:N28.</t>
  </si>
  <si>
    <t>Charts sheet: Revenue vs total expenses chart fed by Charts!F4:H28.</t>
  </si>
  <si>
    <t>Charts sheet: Ending cash runway chart fed by Charts!J4:K28.</t>
  </si>
  <si>
    <t>SaaS KPI Dashboard: summary tiles A4:J11 and takeaway block A14:B18.</t>
  </si>
  <si>
    <t>Scenario Analysis sheet: scenario comparison table A3:H6.</t>
  </si>
  <si>
    <t>Charts sheet: Ending cash runway chart fed by Charts!J4:K28, with risk list from Board Analysis A45:B51.</t>
  </si>
  <si>
    <t>Scenario Analysis table A3:H6 plus Cash Runway chart fed by Charts!J4:K28.</t>
  </si>
  <si>
    <t>Scenario Analysis table A3:H6 and Cash Runway chart fed by Charts!J4:K28.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</si>
</sst>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Red]\(\$#,##0\);\-"/>
    <numFmt numFmtId="165" formatCode="0.0%"/>
    <numFmt numFmtId="166" formatCode="#,##0.0;[Red]\(#,##0.0\);\-"/>
    <numFmt numFmtId="167" formatCode="0.0%;[Red]\(0.0%\);\-"/>
    <numFmt numFmtId="168" formatCode="0.0;[Red]\(0.0\);\-"/>
    <numFmt numFmtId="169" formatCode="0.0\x;[Red]\(0.0\x\);\-"/>
  </numFmts>
  <fonts count="20">
    <font>
      <sz val="11"/>
      <name val="Carlito"/>
    </font>
    <font>
      <b/>
      <sz val="11"/>
      <color rgb="FFFFFFFF"/>
      <name val="Carlito"/>
    </font>
    <font>
      <b/>
      <sz val="11"/>
      <name val="Carlito"/>
    </font>
    <font>
      <sz val="11"/>
      <color rgb="FF0000FF"/>
      <name val="Carlito"/>
    </font>
    <font>
      <i/>
      <sz val="11"/>
      <name val="Carlito"/>
    </font>
    <font>
      <b/>
      <sz val="16"/>
      <color rgb="FFFFFFFF"/>
      <name val="Carlito"/>
    </font>
    <font>
      <b/>
      <i/>
      <sz val="11"/>
      <color rgb="FFFFFFFF"/>
      <name val="Carlito"/>
    </font>
    <font>
      <b/>
      <sz val="11"/>
      <color rgb="FF000000"/>
      <name val="Carlito"/>
    </font>
    <font>
      <b/>
      <sz val="12"/>
      <name val="Carlito"/>
    </font>
    <font>
      <sz val="12"/>
      <name val="Carlito"/>
    </font>
    <font>
      <sz val="16"/>
      <name val="Carlito"/>
    </font>
    <font>
      <b/>
      <i/>
      <sz val="11"/>
      <name val="Carlito"/>
    </font>
    <font>
      <sz val="10"/>
      <color rgb="FF000000"/>
      <name val="Calibri"/>
      <family val="2"/>
    </font>
    <font>
      <b/>
      <sz val="16"/>
      <color rgb="FFFFFFFF"/>
      <name val="Calibri"/>
      <family val="2"/>
    </font>
    <font>
      <i/>
      <sz val="10"/>
      <color rgb="FF666666"/>
      <name val="Calibri"/>
      <family val="2"/>
    </font>
    <font>
      <b/>
      <sz val="12"/>
      <color rgb="FFFFFFFF"/>
      <name val="Calibri"/>
      <family val="2"/>
    </font>
    <font>
      <b/>
      <sz val="10"/>
      <color rgb="FF000000"/>
      <name val="Calibri"/>
      <family val="2"/>
    </font>
    <font>
      <b/>
      <sz val="10"/>
      <color rgb="FFFFFFFF"/>
      <name val="Calibri"/>
      <family val="2"/>
    </font>
    <font>
      <sz val="10"/>
      <name val="Carlito"/>
    </font>
    <font>
      <b/>
      <sz val="10"/>
      <name val="Carlito"/>
    </font>
  </fonts>
  <fills count="17">
    <fill>
      <patternFill patternType="none"/>
    </fill>
    <fill>
      <patternFill patternType="gray125"/>
    </fill>
    <fill>
      <patternFill patternType="solid">
        <fgColor rgb="FF1F4E78"/>
      </patternFill>
    </fill>
    <fill>
      <patternFill patternType="solid">
        <fgColor rgb="FFF3F6FA"/>
      </patternFill>
    </fill>
    <fill>
      <patternFill patternType="solid">
        <fgColor rgb="FFFFF2CC"/>
      </patternFill>
    </fill>
    <fill>
      <patternFill patternType="solid">
        <fgColor rgb="FFFFFFFF"/>
      </patternFill>
    </fill>
    <fill>
      <patternFill patternType="solid">
        <fgColor rgb="FF1F4E78"/>
      </patternFill>
    </fill>
    <fill>
      <patternFill patternType="solid">
        <fgColor rgb="FFD9EAF7"/>
      </patternFill>
    </fill>
    <fill>
      <patternFill patternType="solid">
        <fgColor rgb="FFFFFFFF"/>
        <bgColor indexed="64"/>
      </patternFill>
    </fill>
    <fill>
      <patternFill patternType="solid">
        <fgColor rgb="FF1D2330"/>
        <bgColor indexed="64"/>
      </patternFill>
    </fill>
    <fill>
      <patternFill patternType="solid">
        <fgColor rgb="FF1F4E78"/>
        <bgColor indexed="64"/>
      </patternFill>
    </fill>
    <fill>
      <patternFill patternType="solid">
        <fgColor rgb="FFF2F2F2"/>
        <bgColor indexed="64"/>
      </patternFill>
    </fill>
    <fill>
      <patternFill patternType="solid">
        <fgColor rgb="FFC00000"/>
        <bgColor indexed="64"/>
      </patternFill>
    </fill>
    <fill>
      <patternFill patternType="solid">
        <fgColor rgb="FFFFC000"/>
        <bgColor indexed="64"/>
      </patternFill>
    </fill>
    <fill>
      <patternFill patternType="solid">
        <fgColor rgb="FF00B050"/>
        <bgColor indexed="64"/>
      </patternFill>
    </fill>
    <fill>
      <patternFill patternType="solid">
        <fgColor rgb="FFF5F5F5"/>
        <bgColor rgb="FFF5F5F5"/>
      </patternFill>
    </fill>
    <fill>
      <patternFill patternType="solid">
        <fgColor rgb="FFFFFFFF"/>
        <bgColor rgb="FFFFFFFF"/>
      </patternFill>
    </fill>
  </fills>
  <borders count="24">
    <border>
      <left/>
      <right/>
      <top/>
      <bottom/>
      <diagonal/>
    </border>
    <border>
      <left/>
      <right/>
      <top/>
      <bottom/>
      <diagonal/>
    </border>
    <border>
      <left style="thin">
        <color indexed="64"/>
      </left>
      <right style="thin">
        <color indexed="64"/>
      </right>
      <top style="thin">
        <color indexed="64"/>
      </top>
      <bottom style="thin">
        <color indexed="64"/>
      </bottom>
      <diagonal/>
    </border>
    <border>
      <left/>
      <right/>
      <top style="thin">
        <color rgb="FFD9E2F3"/>
      </top>
      <bottom/>
      <diagonal/>
    </border>
    <border>
      <left/>
      <right/>
      <top/>
      <bottom style="thin">
        <color rgb="FFD9E2F3"/>
      </bottom>
      <diagonal/>
    </border>
    <border>
      <left style="thin">
        <color rgb="FFD9E2F3"/>
      </left>
      <right/>
      <top style="thin">
        <color rgb="FFD9E2F3"/>
      </top>
      <bottom/>
      <diagonal/>
    </border>
    <border>
      <left style="thin">
        <color rgb="FFD9E2F3"/>
      </left>
      <right/>
      <top/>
      <bottom/>
      <diagonal/>
    </border>
    <border>
      <left style="thin">
        <color rgb="FFD9E2F3"/>
      </left>
      <right style="thin">
        <color rgb="FFD9E2F3"/>
      </right>
      <top style="thin">
        <color rgb="FFD9E2F3"/>
      </top>
      <bottom style="thin">
        <color rgb="FFD9E2F3"/>
      </bottom>
      <diagonal/>
    </border>
    <border>
      <left style="thin">
        <color rgb="FFD9E2F3"/>
      </left>
      <right/>
      <top style="thick">
        <color rgb="FF1D2330"/>
      </top>
      <bottom style="thin">
        <color rgb="FFFFFFFF"/>
      </bottom>
      <diagonal/>
    </border>
    <border>
      <left/>
      <right/>
      <top style="thick">
        <color rgb="FF1D2330"/>
      </top>
      <bottom style="thin">
        <color rgb="FFFFFFFF"/>
      </bottom>
      <diagonal/>
    </border>
    <border>
      <left style="thin">
        <color rgb="FFD9E2F3"/>
      </left>
      <right style="thin">
        <color rgb="FFD9E2F3"/>
      </right>
      <top/>
      <bottom style="medium">
        <color rgb="FF1F4E78"/>
      </bottom>
      <diagonal/>
    </border>
    <border>
      <left style="thin">
        <color rgb="FFD9E2F3"/>
      </left>
      <right/>
      <top/>
      <bottom style="medium">
        <color rgb="FF1F4E78"/>
      </bottom>
      <diagonal/>
    </border>
    <border>
      <left/>
      <right/>
      <top/>
      <bottom style="medium">
        <color rgb="FF1F4E78"/>
      </bottom>
      <diagonal/>
    </border>
    <border>
      <left style="thin">
        <color rgb="FFD9E2F3"/>
      </left>
      <right style="thin">
        <color rgb="FFD9E2F3"/>
      </right>
      <top style="thin">
        <color rgb="FF1F4E78"/>
      </top>
      <bottom/>
      <diagonal/>
    </border>
    <border>
      <left style="thin">
        <color rgb="FFD9E2F3"/>
      </left>
      <right style="thin">
        <color rgb="FFD9E2F3"/>
      </right>
      <top/>
      <bottom/>
      <diagonal/>
    </border>
    <border>
      <left style="thin">
        <color rgb="FFD9E2F3"/>
      </left>
      <right style="thin">
        <color rgb="FFD9E2F3"/>
      </right>
      <top/>
      <bottom style="thin">
        <color rgb="FFD9E2F3"/>
      </bottom>
      <diagonal/>
    </border>
    <border>
      <left style="thin">
        <color rgb="FFD9E2F3"/>
      </left>
      <right style="thin">
        <color rgb="FFD9E2F3"/>
      </right>
      <top style="thin">
        <color rgb="FFD9E2F3"/>
      </top>
      <bottom/>
      <diagonal/>
    </border>
    <border>
      <left/>
      <right style="thin">
        <color rgb="FFD9E2F3"/>
      </right>
      <top/>
      <bottom style="thin">
        <color rgb="FFD9E2F3"/>
      </bottom>
      <diagonal/>
    </border>
    <border>
      <left style="thin">
        <color rgb="FFD9E2F3"/>
      </left>
      <right/>
      <top/>
      <bottom style="thin">
        <color rgb="FFD9E2F3"/>
      </bottom>
      <diagonal/>
    </border>
    <border>
      <left/>
      <right style="thin">
        <color rgb="FFD9E2F3"/>
      </right>
      <top style="thin">
        <color rgb="FFD9E2F3"/>
      </top>
      <bottom style="thin">
        <color rgb="FFD9E2F3"/>
      </bottom>
      <diagonal/>
    </border>
    <border>
      <left style="thin">
        <color rgb="FFD9E2F3"/>
      </left>
      <right/>
      <top style="thin">
        <color rgb="FFD9E2F3"/>
      </top>
      <bottom style="thin">
        <color rgb="FFD9E2F3"/>
      </bottom>
      <diagonal/>
    </border>
    <border>
      <left/>
      <right style="thin">
        <color rgb="FFD9E2F3"/>
      </right>
      <top style="thin">
        <color rgb="FFD9E2F3"/>
      </top>
      <bottom style="thick">
        <color rgb="FF1D2330"/>
      </bottom>
      <diagonal/>
    </border>
    <border>
      <left style="thin">
        <color rgb="FFD9E2F3"/>
      </left>
      <right style="thin">
        <color rgb="FFD9E2F3"/>
      </right>
      <top style="thin">
        <color rgb="FFD9E2F3"/>
      </top>
      <bottom style="thick">
        <color rgb="FF1D2330"/>
      </bottom>
      <diagonal/>
    </border>
    <border>
      <left style="thin">
        <color rgb="FFD9E2F3"/>
      </left>
      <right/>
      <top style="thin">
        <color rgb="FFD9E2F3"/>
      </top>
      <bottom style="thick">
        <color rgb="FF1D2330"/>
      </bottom>
      <diagonal/>
    </border>
  </borders>
  <cellStyleXfs count="1">
    <xf numFmtId="0" fontId="0" fillId="0" borderId="1"/>
  </cellStyleXfs>
  <cellXfs count="90">
    <xf numFmtId="0" fontId="0" fillId="0" borderId="0" xfId="0" applyBorder="1"/>
    <xf numFmtId="0" fontId="1" fillId="2" borderId="0" xfId="0" applyFont="1" applyFill="1" applyBorder="1" applyAlignment="1">
      <alignment horizontal="center" vertical="center" wrapText="1"/>
    </xf>
    <xf numFmtId="0" fontId="0" fillId="0" borderId="0" xfId="0" applyBorder="1" applyAlignment="1">
      <alignment vertical="center" wrapText="1"/>
    </xf>
    <xf numFmtId="0" fontId="2" fillId="3" borderId="0" xfId="0" applyFont="1" applyFill="1" applyBorder="1" applyAlignment="1">
      <alignment vertical="center" wrapText="1"/>
    </xf>
    <xf numFmtId="0" fontId="2" fillId="0" borderId="0" xfId="0" applyFont="1" applyBorder="1" applyAlignment="1">
      <alignment vertical="center" wrapText="1"/>
    </xf>
    <xf numFmtId="0" fontId="1" fillId="2" borderId="0" xfId="0" applyFont="1" applyFill="1" applyBorder="1" applyAlignment="1">
      <alignment vertical="center" wrapText="1"/>
    </xf>
    <xf numFmtId="0" fontId="0" fillId="3" borderId="0" xfId="0" applyFill="1" applyBorder="1" applyAlignment="1">
      <alignment vertical="center" wrapText="1"/>
    </xf>
    <xf numFmtId="0" fontId="3" fillId="4" borderId="0" xfId="0" applyFont="1" applyFill="1" applyBorder="1" applyAlignment="1">
      <alignment horizontal="right" vertical="center" wrapText="1"/>
    </xf>
    <xf numFmtId="0" fontId="0" fillId="5" borderId="0" xfId="0" applyFill="1" applyBorder="1" applyAlignment="1">
      <alignment vertical="center" wrapText="1"/>
    </xf>
    <xf numFmtId="17" fontId="3" fillId="4" borderId="0" xfId="0" applyNumberFormat="1" applyFont="1" applyFill="1" applyBorder="1" applyAlignment="1">
      <alignment horizontal="right" vertical="center" wrapText="1"/>
    </xf>
    <xf numFmtId="164" fontId="3" fillId="4" borderId="0" xfId="0" applyNumberFormat="1" applyFont="1" applyFill="1" applyBorder="1" applyAlignment="1">
      <alignment horizontal="right" vertical="center" wrapText="1"/>
    </xf>
    <xf numFmtId="164" fontId="0" fillId="5" borderId="0" xfId="0" applyNumberFormat="1" applyFill="1" applyBorder="1" applyAlignment="1">
      <alignment vertical="center" wrapText="1"/>
    </xf>
    <xf numFmtId="164" fontId="1" fillId="2" borderId="0" xfId="0" applyNumberFormat="1" applyFont="1" applyFill="1" applyBorder="1" applyAlignment="1">
      <alignment vertical="center" wrapText="1"/>
    </xf>
    <xf numFmtId="165" fontId="3" fillId="4" borderId="0" xfId="0" applyNumberFormat="1" applyFont="1" applyFill="1" applyBorder="1" applyAlignment="1">
      <alignment horizontal="right" vertical="center" wrapText="1"/>
    </xf>
    <xf numFmtId="165" fontId="1" fillId="2" borderId="0" xfId="0" applyNumberFormat="1" applyFont="1" applyFill="1" applyBorder="1" applyAlignment="1">
      <alignment vertical="center" wrapText="1"/>
    </xf>
    <xf numFmtId="166" fontId="0" fillId="0" borderId="0" xfId="0" applyNumberFormat="1" applyBorder="1" applyAlignment="1">
      <alignment vertical="center" wrapText="1"/>
    </xf>
    <xf numFmtId="164" fontId="0" fillId="0" borderId="0" xfId="0" applyNumberFormat="1" applyBorder="1" applyAlignment="1">
      <alignment vertical="center" wrapText="1"/>
    </xf>
    <xf numFmtId="167" fontId="0" fillId="0" borderId="0" xfId="0" applyNumberFormat="1" applyBorder="1" applyAlignment="1">
      <alignment vertical="center" wrapText="1"/>
    </xf>
    <xf numFmtId="167" fontId="1" fillId="2" borderId="0" xfId="0" applyNumberFormat="1" applyFont="1" applyFill="1" applyBorder="1" applyAlignment="1">
      <alignment vertical="center" wrapText="1"/>
    </xf>
    <xf numFmtId="0" fontId="4" fillId="3" borderId="0" xfId="0" applyFont="1" applyFill="1" applyBorder="1" applyAlignment="1">
      <alignment horizontal="center" vertical="center" wrapText="1"/>
    </xf>
    <xf numFmtId="168" fontId="0" fillId="0" borderId="0" xfId="0" applyNumberFormat="1" applyBorder="1" applyAlignment="1">
      <alignment vertical="center" wrapText="1"/>
    </xf>
    <xf numFmtId="17" fontId="0" fillId="0" borderId="0" xfId="0" applyNumberFormat="1" applyBorder="1" applyAlignment="1">
      <alignment vertical="center" wrapText="1"/>
    </xf>
    <xf numFmtId="0" fontId="0" fillId="0" borderId="0" xfId="0" applyBorder="1" applyAlignment="1">
      <alignment vertical="center"/>
    </xf>
    <xf numFmtId="0" fontId="7" fillId="7" borderId="0" xfId="0" applyFont="1" applyFill="1" applyBorder="1" applyAlignment="1">
      <alignment vertical="center"/>
    </xf>
    <xf numFmtId="0" fontId="1" fillId="2" borderId="2" xfId="0" applyFont="1" applyFill="1" applyBorder="1" applyAlignment="1">
      <alignment horizontal="center" vertical="center" wrapText="1"/>
    </xf>
    <xf numFmtId="0" fontId="0" fillId="0" borderId="2" xfId="0" applyBorder="1" applyAlignment="1">
      <alignment vertical="center" wrapText="1"/>
    </xf>
    <xf numFmtId="0" fontId="11" fillId="0" borderId="2" xfId="0" applyFont="1" applyBorder="1" applyAlignment="1">
      <alignment vertical="center" wrapText="1"/>
    </xf>
    <xf numFmtId="0" fontId="2" fillId="0" borderId="2" xfId="0" applyFont="1" applyBorder="1" applyAlignment="1">
      <alignment vertical="center" wrapText="1"/>
    </xf>
    <xf numFmtId="165" fontId="0" fillId="0" borderId="2" xfId="0" applyNumberFormat="1" applyBorder="1" applyAlignment="1">
      <alignment horizontal="center" vertical="center" wrapText="1"/>
    </xf>
    <xf numFmtId="164" fontId="0" fillId="0" borderId="2" xfId="0" applyNumberFormat="1" applyBorder="1" applyAlignment="1">
      <alignment horizontal="center" vertical="center" wrapText="1"/>
    </xf>
    <xf numFmtId="0" fontId="7" fillId="7" borderId="2" xfId="0" applyFont="1" applyFill="1" applyBorder="1" applyAlignment="1">
      <alignment horizontal="center" vertical="center"/>
    </xf>
    <xf numFmtId="17" fontId="0" fillId="0" borderId="2" xfId="0" applyNumberFormat="1" applyBorder="1" applyAlignment="1">
      <alignment horizontal="center" vertical="center"/>
    </xf>
    <xf numFmtId="164" fontId="0" fillId="0" borderId="2" xfId="0" applyNumberFormat="1" applyBorder="1" applyAlignment="1">
      <alignment horizontal="center" vertical="center"/>
    </xf>
    <xf numFmtId="0" fontId="7" fillId="7" borderId="2" xfId="0" applyFont="1" applyFill="1" applyBorder="1" applyAlignment="1">
      <alignment horizontal="center" vertical="center" wrapText="1"/>
    </xf>
    <xf numFmtId="166" fontId="0" fillId="0" borderId="2" xfId="0" applyNumberFormat="1" applyBorder="1" applyAlignment="1">
      <alignment horizontal="center" vertical="center"/>
    </xf>
    <xf numFmtId="0" fontId="12" fillId="8" borderId="1" xfId="0" applyFont="1" applyFill="1" applyAlignment="1">
      <alignment horizontal="left"/>
    </xf>
    <xf numFmtId="0" fontId="12" fillId="8" borderId="4" xfId="0" applyFont="1" applyFill="1" applyBorder="1" applyAlignment="1">
      <alignment horizontal="left"/>
    </xf>
    <xf numFmtId="0" fontId="12" fillId="8" borderId="6" xfId="0" applyFont="1" applyFill="1" applyBorder="1" applyAlignment="1">
      <alignment horizontal="left"/>
    </xf>
    <xf numFmtId="0" fontId="13" fillId="9" borderId="5" xfId="0" applyFont="1" applyFill="1" applyBorder="1" applyAlignment="1">
      <alignment horizontal="left"/>
    </xf>
    <xf numFmtId="0" fontId="13" fillId="9" borderId="3" xfId="0" applyFont="1" applyFill="1" applyBorder="1" applyAlignment="1">
      <alignment horizontal="left"/>
    </xf>
    <xf numFmtId="0" fontId="14" fillId="8" borderId="8" xfId="0" applyFont="1" applyFill="1" applyBorder="1" applyAlignment="1">
      <alignment horizontal="left"/>
    </xf>
    <xf numFmtId="0" fontId="14" fillId="8" borderId="9" xfId="0" applyFont="1" applyFill="1" applyBorder="1" applyAlignment="1">
      <alignment horizontal="left"/>
    </xf>
    <xf numFmtId="0" fontId="15" fillId="10" borderId="11" xfId="0" applyFont="1" applyFill="1" applyBorder="1" applyAlignment="1">
      <alignment horizontal="left"/>
    </xf>
    <xf numFmtId="0" fontId="15" fillId="10" borderId="12" xfId="0" applyFont="1" applyFill="1" applyBorder="1" applyAlignment="1">
      <alignment horizontal="left"/>
    </xf>
    <xf numFmtId="0" fontId="16" fillId="11" borderId="14" xfId="0" applyFont="1" applyFill="1" applyBorder="1" applyAlignment="1">
      <alignment horizontal="left"/>
    </xf>
    <xf numFmtId="0" fontId="16" fillId="11" borderId="15" xfId="0" applyFont="1" applyFill="1" applyBorder="1" applyAlignment="1">
      <alignment horizontal="left"/>
    </xf>
    <xf numFmtId="0" fontId="15" fillId="10" borderId="10" xfId="0" applyFont="1" applyFill="1" applyBorder="1" applyAlignment="1">
      <alignment horizontal="left"/>
    </xf>
    <xf numFmtId="0" fontId="15" fillId="10" borderId="14" xfId="0" applyFont="1" applyFill="1" applyBorder="1" applyAlignment="1">
      <alignment horizontal="left"/>
    </xf>
    <xf numFmtId="0" fontId="17" fillId="12" borderId="13" xfId="0" applyFont="1" applyFill="1" applyBorder="1" applyAlignment="1">
      <alignment horizontal="center"/>
    </xf>
    <xf numFmtId="0" fontId="16" fillId="13" borderId="14" xfId="0" applyFont="1" applyFill="1" applyBorder="1" applyAlignment="1">
      <alignment horizontal="center"/>
    </xf>
    <xf numFmtId="0" fontId="16" fillId="13" borderId="16" xfId="0" applyFont="1" applyFill="1" applyBorder="1" applyAlignment="1">
      <alignment horizontal="center"/>
    </xf>
    <xf numFmtId="0" fontId="17" fillId="14" borderId="16" xfId="0" applyFont="1" applyFill="1" applyBorder="1" applyAlignment="1">
      <alignment horizontal="center"/>
    </xf>
    <xf numFmtId="0" fontId="16" fillId="13" borderId="7" xfId="0" applyFont="1" applyFill="1" applyBorder="1" applyAlignment="1">
      <alignment horizontal="center"/>
    </xf>
    <xf numFmtId="0" fontId="12" fillId="8" borderId="1" xfId="0" applyFont="1" applyFill="1" applyAlignment="1">
      <alignment horizontal="left" wrapText="1"/>
    </xf>
    <xf numFmtId="0" fontId="0" fillId="0" borderId="1" xfId="0"/>
    <xf numFmtId="0" fontId="1" fillId="2" borderId="1" xfId="0" applyFont="1" applyFill="1" applyAlignment="1">
      <alignment horizontal="left" vertical="center" wrapText="1"/>
    </xf>
    <xf numFmtId="0" fontId="0" fillId="0" borderId="1" xfId="0"/>
    <xf numFmtId="0" fontId="5" fillId="2" borderId="1" xfId="0" applyFont="1" applyFill="1" applyAlignment="1">
      <alignment horizontal="center" vertical="center" wrapText="1"/>
    </xf>
    <xf numFmtId="0" fontId="10" fillId="0" borderId="1" xfId="0" applyFont="1"/>
    <xf numFmtId="0" fontId="4" fillId="3" borderId="1" xfId="0" applyFont="1" applyFill="1" applyAlignment="1">
      <alignment vertical="center" wrapText="1"/>
    </xf>
    <xf numFmtId="0" fontId="1" fillId="2" borderId="1" xfId="0" applyFont="1" applyFill="1" applyAlignment="1">
      <alignment horizontal="center" vertical="center" wrapText="1"/>
    </xf>
    <xf numFmtId="0" fontId="0" fillId="5" borderId="1" xfId="0" applyFill="1" applyAlignment="1">
      <alignment vertical="center" wrapText="1"/>
    </xf>
    <xf numFmtId="164" fontId="8" fillId="5" borderId="1" xfId="0" applyNumberFormat="1" applyFont="1" applyFill="1" applyAlignment="1">
      <alignment horizontal="center" vertical="center" wrapText="1"/>
    </xf>
    <xf numFmtId="0" fontId="9" fillId="0" borderId="1" xfId="0" applyFont="1"/>
    <xf numFmtId="0" fontId="4" fillId="5" borderId="1" xfId="0" applyFont="1" applyFill="1" applyAlignment="1">
      <alignment horizontal="center" vertical="center" wrapText="1"/>
    </xf>
    <xf numFmtId="0" fontId="4" fillId="3" borderId="1" xfId="0" applyFont="1" applyFill="1" applyAlignment="1">
      <alignment horizontal="center" vertical="center" wrapText="1"/>
    </xf>
    <xf numFmtId="166" fontId="8" fillId="5" borderId="1" xfId="0" applyNumberFormat="1" applyFont="1" applyFill="1" applyAlignment="1">
      <alignment horizontal="center" vertical="center" wrapText="1"/>
    </xf>
    <xf numFmtId="167" fontId="8" fillId="5" borderId="1" xfId="0" applyNumberFormat="1" applyFont="1" applyFill="1" applyAlignment="1">
      <alignment horizontal="center" vertical="center" wrapText="1"/>
    </xf>
    <xf numFmtId="0" fontId="0" fillId="0" borderId="0" xfId="0" applyBorder="1" applyAlignment="1">
      <alignment vertical="center" wrapText="1"/>
    </xf>
    <xf numFmtId="0" fontId="0" fillId="0" borderId="0" xfId="0" applyBorder="1" applyAlignment="1">
      <alignment wrapText="1"/>
    </xf>
    <xf numFmtId="0" fontId="1" fillId="2" borderId="0" xfId="0" applyFont="1" applyFill="1" applyBorder="1" applyAlignment="1">
      <alignment horizontal="left" vertical="center" wrapText="1"/>
    </xf>
    <xf numFmtId="169" fontId="8" fillId="5" borderId="1" xfId="0" applyNumberFormat="1" applyFont="1" applyFill="1" applyAlignment="1">
      <alignment horizontal="center" vertical="center" wrapText="1"/>
    </xf>
    <xf numFmtId="0" fontId="6" fillId="6" borderId="0" xfId="0" applyFont="1" applyFill="1" applyBorder="1" applyAlignment="1">
      <alignment vertical="center"/>
    </xf>
    <xf numFmtId="0" fontId="1" fillId="6" borderId="0" xfId="0" applyFont="1" applyFill="1" applyBorder="1"/>
    <xf numFmtId="0" fontId="5" fillId="6" borderId="0" xfId="0" applyFont="1" applyFill="1" applyBorder="1" applyAlignment="1">
      <alignment horizontal="center" vertical="center"/>
    </xf>
    <xf numFmtId="0" fontId="1" fillId="9" borderId="17" xfId="0" applyFont="1" applyFill="1" applyBorder="1" applyAlignment="1">
      <alignment horizontal="center" vertical="center" wrapText="1"/>
    </xf>
    <xf numFmtId="0" fontId="1" fillId="9" borderId="15" xfId="0" applyFont="1" applyFill="1" applyBorder="1" applyAlignment="1">
      <alignment horizontal="center" vertical="center" wrapText="1"/>
    </xf>
    <xf numFmtId="0" fontId="1" fillId="9" borderId="18" xfId="0" applyFont="1" applyFill="1" applyBorder="1" applyAlignment="1">
      <alignment horizontal="center" vertical="center" wrapText="1"/>
    </xf>
    <xf numFmtId="0" fontId="18" fillId="15" borderId="19" xfId="0" applyFont="1" applyFill="1" applyBorder="1" applyAlignment="1">
      <alignment horizontal="center" vertical="top" wrapText="1"/>
    </xf>
    <xf numFmtId="0" fontId="19" fillId="15" borderId="7" xfId="0" applyFont="1" applyFill="1" applyBorder="1" applyAlignment="1">
      <alignment vertical="top" wrapText="1"/>
    </xf>
    <xf numFmtId="0" fontId="18" fillId="15" borderId="7" xfId="0" applyFont="1" applyFill="1" applyBorder="1" applyAlignment="1">
      <alignment vertical="top" wrapText="1"/>
    </xf>
    <xf numFmtId="0" fontId="18" fillId="15" borderId="20" xfId="0" applyFont="1" applyFill="1" applyBorder="1" applyAlignment="1">
      <alignment vertical="top" wrapText="1"/>
    </xf>
    <xf numFmtId="0" fontId="18" fillId="16" borderId="19" xfId="0" applyFont="1" applyFill="1" applyBorder="1" applyAlignment="1">
      <alignment horizontal="center" vertical="top" wrapText="1"/>
    </xf>
    <xf numFmtId="0" fontId="19" fillId="16" borderId="7" xfId="0" applyFont="1" applyFill="1" applyBorder="1" applyAlignment="1">
      <alignment vertical="top" wrapText="1"/>
    </xf>
    <xf numFmtId="0" fontId="18" fillId="16" borderId="7" xfId="0" applyFont="1" applyFill="1" applyBorder="1" applyAlignment="1">
      <alignment vertical="top" wrapText="1"/>
    </xf>
    <xf numFmtId="0" fontId="18" fillId="16" borderId="20" xfId="0" applyFont="1" applyFill="1" applyBorder="1" applyAlignment="1">
      <alignment vertical="top" wrapText="1"/>
    </xf>
    <xf numFmtId="0" fontId="18" fillId="16" borderId="21" xfId="0" applyFont="1" applyFill="1" applyBorder="1" applyAlignment="1">
      <alignment horizontal="center" vertical="top" wrapText="1"/>
    </xf>
    <xf numFmtId="0" fontId="19" fillId="16" borderId="22" xfId="0" applyFont="1" applyFill="1" applyBorder="1" applyAlignment="1">
      <alignment vertical="top" wrapText="1"/>
    </xf>
    <xf numFmtId="0" fontId="18" fillId="16" borderId="22" xfId="0" applyFont="1" applyFill="1" applyBorder="1" applyAlignment="1">
      <alignment vertical="top" wrapText="1"/>
    </xf>
    <xf numFmtId="0" fontId="18" fillId="16" borderId="23"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lineChart>
        <c:grouping val="standard"/>
        <c:varyColors val="1"/>
        <c:ser>
          <c:idx val="0"/>
          <c:order val="0"/>
          <c:tx>
            <c:v>MRR</c:v>
          </c:tx>
          <c:cat>
            <c:strRef>
              <c:f>Charts!$A$5:$A$28</c:f>
              <c:strCache>
                <c:ptCount val="24"/>
                <c:pt idx="0">
                  <c:v>May-26</c:v>
                </c:pt>
                <c:pt idx="1">
                  <c:v>Jun-26</c:v>
                </c:pt>
                <c:pt idx="2">
                  <c:v>Jul-26</c:v>
                </c:pt>
                <c:pt idx="3">
                  <c:v>Aug-26</c:v>
                </c:pt>
                <c:pt idx="4">
                  <c:v>Sep-26</c:v>
                </c:pt>
                <c:pt idx="5">
                  <c:v>Oct-26</c:v>
                </c:pt>
                <c:pt idx="6">
                  <c:v>Nov-26</c:v>
                </c:pt>
                <c:pt idx="7">
                  <c:v>Dec-26</c:v>
                </c:pt>
                <c:pt idx="8">
                  <c:v>Jan-27</c:v>
                </c:pt>
                <c:pt idx="9">
                  <c:v>Feb-27</c:v>
                </c:pt>
                <c:pt idx="10">
                  <c:v>Mar-27</c:v>
                </c:pt>
                <c:pt idx="11">
                  <c:v>Apr-27</c:v>
                </c:pt>
                <c:pt idx="12">
                  <c:v>May-27</c:v>
                </c:pt>
                <c:pt idx="13">
                  <c:v>Jun-27</c:v>
                </c:pt>
                <c:pt idx="14">
                  <c:v>Jul-27</c:v>
                </c:pt>
                <c:pt idx="15">
                  <c:v>Aug-27</c:v>
                </c:pt>
                <c:pt idx="16">
                  <c:v>Sep-27</c:v>
                </c:pt>
                <c:pt idx="17">
                  <c:v>Oct-27</c:v>
                </c:pt>
                <c:pt idx="18">
                  <c:v>Nov-27</c:v>
                </c:pt>
                <c:pt idx="19">
                  <c:v>Dec-27</c:v>
                </c:pt>
                <c:pt idx="20">
                  <c:v>Jan-28</c:v>
                </c:pt>
                <c:pt idx="21">
                  <c:v>Feb-28</c:v>
                </c:pt>
                <c:pt idx="22">
                  <c:v>Mar-28</c:v>
                </c:pt>
                <c:pt idx="23">
                  <c:v>Apr-28</c:v>
                </c:pt>
              </c:strCache>
            </c:strRef>
          </c:cat>
          <c:val>
            <c:numRef>
              <c:f>Charts!$B$5:$B$28</c:f>
              <c:numCache>
                <c:formatCode>\$#,##0;[Red]\(\$#,##0\);\-</c:formatCode>
                <c:ptCount val="24"/>
                <c:pt idx="0">
                  <c:v>28391.25</c:v>
                </c:pt>
                <c:pt idx="1">
                  <c:v>31898.210062500002</c:v>
                </c:pt>
                <c:pt idx="2">
                  <c:v>35528.020079428126</c:v>
                </c:pt>
                <c:pt idx="3">
                  <c:v>39288.142874430509</c:v>
                </c:pt>
                <c:pt idx="4">
                  <c:v>43186.381206138583</c:v>
                </c:pt>
                <c:pt idx="5">
                  <c:v>47230.895600054202</c:v>
                </c:pt>
                <c:pt idx="6">
                  <c:v>51430.223051025343</c:v>
                </c:pt>
                <c:pt idx="7">
                  <c:v>55793.296640370179</c:v>
                </c:pt>
                <c:pt idx="8">
                  <c:v>60329.466113896902</c:v>
                </c:pt>
                <c:pt idx="9">
                  <c:v>65048.519469366038</c:v>
                </c:pt>
                <c:pt idx="10">
                  <c:v>69960.705604356801</c:v>
                </c:pt>
                <c:pt idx="11">
                  <c:v>75076.758078034822</c:v>
                </c:pt>
                <c:pt idx="12">
                  <c:v>80407.920042981219</c:v>
                </c:pt>
                <c:pt idx="13">
                  <c:v>85965.970406039647</c:v>
                </c:pt>
                <c:pt idx="14">
                  <c:v>91763.251280074139</c:v>
                </c:pt>
                <c:pt idx="15">
                  <c:v>97812.696791613969</c:v>
                </c:pt>
                <c:pt idx="16">
                  <c:v>104127.86331260027</c:v>
                </c:pt>
                <c:pt idx="17">
                  <c:v>110722.96118784852</c:v>
                </c:pt>
                <c:pt idx="18">
                  <c:v>117612.88803341228</c:v>
                </c:pt>
                <c:pt idx="19">
                  <c:v>124813.26368478204</c:v>
                </c:pt>
                <c:pt idx="20">
                  <c:v>132340.46687779034</c:v>
                </c:pt>
                <c:pt idx="21">
                  <c:v>140211.67374922853</c:v>
                </c:pt>
                <c:pt idx="22">
                  <c:v>148444.89824852077</c:v>
                </c:pt>
                <c:pt idx="23">
                  <c:v>157059.03455636007</c:v>
                </c:pt>
              </c:numCache>
            </c:numRef>
          </c:val>
          <c:smooth val="0"/>
          <c:extLst>
            <c:ext xmlns:c16="http://schemas.microsoft.com/office/drawing/2014/chart" uri="{C3380CC4-5D6E-409C-BE32-E72D297353CC}">
              <c16:uniqueId val="{00000000-A002-4A1E-AD6B-C4F78B595D1E}"/>
            </c:ext>
          </c:extLst>
        </c:ser>
        <c:ser>
          <c:idx val="1"/>
          <c:order val="1"/>
          <c:tx>
            <c:v>ARR</c:v>
          </c:tx>
          <c:cat>
            <c:strRef>
              <c:f>Charts!$A$5:$A$28</c:f>
              <c:strCache>
                <c:ptCount val="24"/>
                <c:pt idx="0">
                  <c:v>May-26</c:v>
                </c:pt>
                <c:pt idx="1">
                  <c:v>Jun-26</c:v>
                </c:pt>
                <c:pt idx="2">
                  <c:v>Jul-26</c:v>
                </c:pt>
                <c:pt idx="3">
                  <c:v>Aug-26</c:v>
                </c:pt>
                <c:pt idx="4">
                  <c:v>Sep-26</c:v>
                </c:pt>
                <c:pt idx="5">
                  <c:v>Oct-26</c:v>
                </c:pt>
                <c:pt idx="6">
                  <c:v>Nov-26</c:v>
                </c:pt>
                <c:pt idx="7">
                  <c:v>Dec-26</c:v>
                </c:pt>
                <c:pt idx="8">
                  <c:v>Jan-27</c:v>
                </c:pt>
                <c:pt idx="9">
                  <c:v>Feb-27</c:v>
                </c:pt>
                <c:pt idx="10">
                  <c:v>Mar-27</c:v>
                </c:pt>
                <c:pt idx="11">
                  <c:v>Apr-27</c:v>
                </c:pt>
                <c:pt idx="12">
                  <c:v>May-27</c:v>
                </c:pt>
                <c:pt idx="13">
                  <c:v>Jun-27</c:v>
                </c:pt>
                <c:pt idx="14">
                  <c:v>Jul-27</c:v>
                </c:pt>
                <c:pt idx="15">
                  <c:v>Aug-27</c:v>
                </c:pt>
                <c:pt idx="16">
                  <c:v>Sep-27</c:v>
                </c:pt>
                <c:pt idx="17">
                  <c:v>Oct-27</c:v>
                </c:pt>
                <c:pt idx="18">
                  <c:v>Nov-27</c:v>
                </c:pt>
                <c:pt idx="19">
                  <c:v>Dec-27</c:v>
                </c:pt>
                <c:pt idx="20">
                  <c:v>Jan-28</c:v>
                </c:pt>
                <c:pt idx="21">
                  <c:v>Feb-28</c:v>
                </c:pt>
                <c:pt idx="22">
                  <c:v>Mar-28</c:v>
                </c:pt>
                <c:pt idx="23">
                  <c:v>Apr-28</c:v>
                </c:pt>
              </c:strCache>
            </c:strRef>
          </c:cat>
          <c:val>
            <c:numRef>
              <c:f>Charts!$C$5:$C$28</c:f>
              <c:numCache>
                <c:formatCode>\$#,##0;[Red]\(\$#,##0\);\-</c:formatCode>
                <c:ptCount val="24"/>
                <c:pt idx="0">
                  <c:v>340695</c:v>
                </c:pt>
                <c:pt idx="1">
                  <c:v>382778.52075000003</c:v>
                </c:pt>
                <c:pt idx="2">
                  <c:v>426336.24095313752</c:v>
                </c:pt>
                <c:pt idx="3">
                  <c:v>471457.71449316607</c:v>
                </c:pt>
                <c:pt idx="4">
                  <c:v>518236.574473663</c:v>
                </c:pt>
                <c:pt idx="5">
                  <c:v>566770.7472006504</c:v>
                </c:pt>
                <c:pt idx="6">
                  <c:v>617162.67661230406</c:v>
                </c:pt>
                <c:pt idx="7">
                  <c:v>669519.55968444212</c:v>
                </c:pt>
                <c:pt idx="8">
                  <c:v>723953.59336676286</c:v>
                </c:pt>
                <c:pt idx="9">
                  <c:v>780582.23363239248</c:v>
                </c:pt>
                <c:pt idx="10">
                  <c:v>839528.46725228161</c:v>
                </c:pt>
                <c:pt idx="11">
                  <c:v>900921.09693641786</c:v>
                </c:pt>
                <c:pt idx="12">
                  <c:v>964895.04051577463</c:v>
                </c:pt>
                <c:pt idx="13">
                  <c:v>1031591.6448724758</c:v>
                </c:pt>
                <c:pt idx="14">
                  <c:v>1101159.0153608897</c:v>
                </c:pt>
                <c:pt idx="15">
                  <c:v>1173752.3614993677</c:v>
                </c:pt>
                <c:pt idx="16">
                  <c:v>1249534.3597512031</c:v>
                </c:pt>
                <c:pt idx="17">
                  <c:v>1328675.5342541821</c:v>
                </c:pt>
                <c:pt idx="18">
                  <c:v>1411354.6564009474</c:v>
                </c:pt>
                <c:pt idx="19">
                  <c:v>1497759.1642173845</c:v>
                </c:pt>
                <c:pt idx="20">
                  <c:v>1588085.6025334841</c:v>
                </c:pt>
                <c:pt idx="21">
                  <c:v>1682540.0849907424</c:v>
                </c:pt>
                <c:pt idx="22">
                  <c:v>1781338.7789822491</c:v>
                </c:pt>
                <c:pt idx="23">
                  <c:v>1884708.4146763207</c:v>
                </c:pt>
              </c:numCache>
            </c:numRef>
          </c:val>
          <c:smooth val="0"/>
          <c:extLst>
            <c:ext xmlns:c16="http://schemas.microsoft.com/office/drawing/2014/chart" uri="{C3380CC4-5D6E-409C-BE32-E72D297353CC}">
              <c16:uniqueId val="{00000001-A002-4A1E-AD6B-C4F78B595D1E}"/>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rot="-2700000" anchorCtr="1"/>
          <a:lstStyle/>
          <a:p>
            <a:pPr>
              <a:defRPr sz="1000" b="1">
                <a:solidFill>
                  <a:srgbClr val="002060"/>
                </a:solidFill>
              </a:defRPr>
            </a:pPr>
            <a:endParaRPr lang="en-US"/>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n-IN" sz="1050" b="1"/>
                  <a:t>USD</a:t>
                </a:r>
              </a:p>
            </c:rich>
          </c:tx>
          <c:overlay val="0"/>
        </c:title>
        <c:numFmt formatCode="\$#,##0" sourceLinked="0"/>
        <c:majorTickMark val="none"/>
        <c:minorTickMark val="none"/>
        <c:tickLblPos val="nextTo"/>
        <c:txPr>
          <a:bodyPr/>
          <a:lstStyle/>
          <a:p>
            <a:pPr>
              <a:defRPr b="1">
                <a:solidFill>
                  <a:srgbClr val="002060"/>
                </a:solidFill>
              </a:defRPr>
            </a:pPr>
            <a:endParaRPr lang="en-US"/>
          </a:p>
        </c:txPr>
        <c:crossAx val="48650112"/>
        <c:crosses val="autoZero"/>
        <c:crossBetween val="between"/>
      </c:valAx>
    </c:plotArea>
    <c:legend>
      <c:legendPos val="b"/>
      <c:overlay val="0"/>
      <c:txPr>
        <a:bodyPr/>
        <a:lstStyle/>
        <a:p>
          <a:pPr>
            <a:defRPr b="1"/>
          </a:pPr>
          <a:endParaRPr lang="en-US"/>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lineChart>
        <c:grouping val="standard"/>
        <c:varyColors val="1"/>
        <c:ser>
          <c:idx val="0"/>
          <c:order val="0"/>
          <c:tx>
            <c:v>Revenue</c:v>
          </c:tx>
          <c:cat>
            <c:strRef>
              <c:f>Charts!$F$5:$F$28</c:f>
              <c:strCache>
                <c:ptCount val="24"/>
                <c:pt idx="0">
                  <c:v>May-26</c:v>
                </c:pt>
                <c:pt idx="1">
                  <c:v>Jun-26</c:v>
                </c:pt>
                <c:pt idx="2">
                  <c:v>Jul-26</c:v>
                </c:pt>
                <c:pt idx="3">
                  <c:v>Aug-26</c:v>
                </c:pt>
                <c:pt idx="4">
                  <c:v>Sep-26</c:v>
                </c:pt>
                <c:pt idx="5">
                  <c:v>Oct-26</c:v>
                </c:pt>
                <c:pt idx="6">
                  <c:v>Nov-26</c:v>
                </c:pt>
                <c:pt idx="7">
                  <c:v>Dec-26</c:v>
                </c:pt>
                <c:pt idx="8">
                  <c:v>Jan-27</c:v>
                </c:pt>
                <c:pt idx="9">
                  <c:v>Feb-27</c:v>
                </c:pt>
                <c:pt idx="10">
                  <c:v>Mar-27</c:v>
                </c:pt>
                <c:pt idx="11">
                  <c:v>Apr-27</c:v>
                </c:pt>
                <c:pt idx="12">
                  <c:v>May-27</c:v>
                </c:pt>
                <c:pt idx="13">
                  <c:v>Jun-27</c:v>
                </c:pt>
                <c:pt idx="14">
                  <c:v>Jul-27</c:v>
                </c:pt>
                <c:pt idx="15">
                  <c:v>Aug-27</c:v>
                </c:pt>
                <c:pt idx="16">
                  <c:v>Sep-27</c:v>
                </c:pt>
                <c:pt idx="17">
                  <c:v>Oct-27</c:v>
                </c:pt>
                <c:pt idx="18">
                  <c:v>Nov-27</c:v>
                </c:pt>
                <c:pt idx="19">
                  <c:v>Dec-27</c:v>
                </c:pt>
                <c:pt idx="20">
                  <c:v>Jan-28</c:v>
                </c:pt>
                <c:pt idx="21">
                  <c:v>Feb-28</c:v>
                </c:pt>
                <c:pt idx="22">
                  <c:v>Mar-28</c:v>
                </c:pt>
                <c:pt idx="23">
                  <c:v>Apr-28</c:v>
                </c:pt>
              </c:strCache>
            </c:strRef>
          </c:cat>
          <c:val>
            <c:numRef>
              <c:f>Charts!$G$5:$G$28</c:f>
              <c:numCache>
                <c:formatCode>\$#,##0;[Red]\(\$#,##0\);\-</c:formatCode>
                <c:ptCount val="24"/>
                <c:pt idx="0">
                  <c:v>26695.625</c:v>
                </c:pt>
                <c:pt idx="1">
                  <c:v>30144.730031250001</c:v>
                </c:pt>
                <c:pt idx="2">
                  <c:v>33713.115070964064</c:v>
                </c:pt>
                <c:pt idx="3">
                  <c:v>37408.081476929321</c:v>
                </c:pt>
                <c:pt idx="4">
                  <c:v>41237.26204028455</c:v>
                </c:pt>
                <c:pt idx="5">
                  <c:v>45208.638403096396</c:v>
                </c:pt>
                <c:pt idx="6">
                  <c:v>49330.559325539769</c:v>
                </c:pt>
                <c:pt idx="7">
                  <c:v>53611.759845697758</c:v>
                </c:pt>
                <c:pt idx="8">
                  <c:v>58061.381377133541</c:v>
                </c:pt>
                <c:pt idx="9">
                  <c:v>62688.99279163147</c:v>
                </c:pt>
                <c:pt idx="10">
                  <c:v>67504.612536861416</c:v>
                </c:pt>
                <c:pt idx="11">
                  <c:v>72518.731841195811</c:v>
                </c:pt>
                <c:pt idx="12">
                  <c:v>77742.33906050802</c:v>
                </c:pt>
                <c:pt idx="13">
                  <c:v>83186.945224510433</c:v>
                </c:pt>
                <c:pt idx="14">
                  <c:v>88864.6108430569</c:v>
                </c:pt>
                <c:pt idx="15">
                  <c:v>94787.974035844061</c:v>
                </c:pt>
                <c:pt idx="16">
                  <c:v>100970.28005210712</c:v>
                </c:pt>
                <c:pt idx="17">
                  <c:v>107425.41225022438</c:v>
                </c:pt>
                <c:pt idx="18">
                  <c:v>114167.92461063041</c:v>
                </c:pt>
                <c:pt idx="19">
                  <c:v>121213.07585909715</c:v>
                </c:pt>
                <c:pt idx="20">
                  <c:v>128576.86528128618</c:v>
                </c:pt>
                <c:pt idx="21">
                  <c:v>136276.07031350944</c:v>
                </c:pt>
                <c:pt idx="22">
                  <c:v>144328.28599887463</c:v>
                </c:pt>
                <c:pt idx="23">
                  <c:v>152751.96640244042</c:v>
                </c:pt>
              </c:numCache>
            </c:numRef>
          </c:val>
          <c:smooth val="0"/>
          <c:extLst>
            <c:ext xmlns:c16="http://schemas.microsoft.com/office/drawing/2014/chart" uri="{C3380CC4-5D6E-409C-BE32-E72D297353CC}">
              <c16:uniqueId val="{00000000-172B-4BFC-809D-B35FA8A70B31}"/>
            </c:ext>
          </c:extLst>
        </c:ser>
        <c:ser>
          <c:idx val="1"/>
          <c:order val="1"/>
          <c:tx>
            <c:v>Total Expenses</c:v>
          </c:tx>
          <c:cat>
            <c:strRef>
              <c:f>Charts!$F$5:$F$28</c:f>
              <c:strCache>
                <c:ptCount val="24"/>
                <c:pt idx="0">
                  <c:v>May-26</c:v>
                </c:pt>
                <c:pt idx="1">
                  <c:v>Jun-26</c:v>
                </c:pt>
                <c:pt idx="2">
                  <c:v>Jul-26</c:v>
                </c:pt>
                <c:pt idx="3">
                  <c:v>Aug-26</c:v>
                </c:pt>
                <c:pt idx="4">
                  <c:v>Sep-26</c:v>
                </c:pt>
                <c:pt idx="5">
                  <c:v>Oct-26</c:v>
                </c:pt>
                <c:pt idx="6">
                  <c:v>Nov-26</c:v>
                </c:pt>
                <c:pt idx="7">
                  <c:v>Dec-26</c:v>
                </c:pt>
                <c:pt idx="8">
                  <c:v>Jan-27</c:v>
                </c:pt>
                <c:pt idx="9">
                  <c:v>Feb-27</c:v>
                </c:pt>
                <c:pt idx="10">
                  <c:v>Mar-27</c:v>
                </c:pt>
                <c:pt idx="11">
                  <c:v>Apr-27</c:v>
                </c:pt>
                <c:pt idx="12">
                  <c:v>May-27</c:v>
                </c:pt>
                <c:pt idx="13">
                  <c:v>Jun-27</c:v>
                </c:pt>
                <c:pt idx="14">
                  <c:v>Jul-27</c:v>
                </c:pt>
                <c:pt idx="15">
                  <c:v>Aug-27</c:v>
                </c:pt>
                <c:pt idx="16">
                  <c:v>Sep-27</c:v>
                </c:pt>
                <c:pt idx="17">
                  <c:v>Oct-27</c:v>
                </c:pt>
                <c:pt idx="18">
                  <c:v>Nov-27</c:v>
                </c:pt>
                <c:pt idx="19">
                  <c:v>Dec-27</c:v>
                </c:pt>
                <c:pt idx="20">
                  <c:v>Jan-28</c:v>
                </c:pt>
                <c:pt idx="21">
                  <c:v>Feb-28</c:v>
                </c:pt>
                <c:pt idx="22">
                  <c:v>Mar-28</c:v>
                </c:pt>
                <c:pt idx="23">
                  <c:v>Apr-28</c:v>
                </c:pt>
              </c:strCache>
            </c:strRef>
          </c:cat>
          <c:val>
            <c:numRef>
              <c:f>Charts!$H$5:$H$28</c:f>
              <c:numCache>
                <c:formatCode>\$#,##0;[Red]\(\$#,##0\);\-</c:formatCode>
                <c:ptCount val="24"/>
                <c:pt idx="0">
                  <c:v>57498.037499999999</c:v>
                </c:pt>
                <c:pt idx="1">
                  <c:v>58886.840606874997</c:v>
                </c:pt>
                <c:pt idx="2">
                  <c:v>60327.385315612089</c:v>
                </c:pt>
                <c:pt idx="3">
                  <c:v>68147.492924924445</c:v>
                </c:pt>
                <c:pt idx="4">
                  <c:v>69700.1177988626</c:v>
                </c:pt>
                <c:pt idx="5">
                  <c:v>81663.354200181202</c:v>
                </c:pt>
                <c:pt idx="6">
                  <c:v>83340.443460633745</c:v>
                </c:pt>
                <c:pt idx="7">
                  <c:v>93134.781505158651</c:v>
                </c:pt>
                <c:pt idx="8">
                  <c:v>94949.926747765581</c:v>
                </c:pt>
                <c:pt idx="9">
                  <c:v>102014.60837781808</c:v>
                </c:pt>
                <c:pt idx="10">
                  <c:v>103982.73505634101</c:v>
                </c:pt>
                <c:pt idx="11">
                  <c:v>121033.40404295945</c:v>
                </c:pt>
                <c:pt idx="12">
                  <c:v>109878.66077510375</c:v>
                </c:pt>
                <c:pt idx="13">
                  <c:v>112107.5089221947</c:v>
                </c:pt>
                <c:pt idx="14">
                  <c:v>114432.42093865508</c:v>
                </c:pt>
                <c:pt idx="15">
                  <c:v>116858.34914078479</c:v>
                </c:pt>
                <c:pt idx="16">
                  <c:v>119390.48733378563</c:v>
                </c:pt>
                <c:pt idx="17">
                  <c:v>122034.28301653333</c:v>
                </c:pt>
                <c:pt idx="18">
                  <c:v>124795.45019307311</c:v>
                </c:pt>
                <c:pt idx="19">
                  <c:v>127679.98282126049</c:v>
                </c:pt>
                <c:pt idx="20">
                  <c:v>130694.1689304889</c:v>
                </c:pt>
                <c:pt idx="21">
                  <c:v>133844.60544203955</c:v>
                </c:pt>
                <c:pt idx="22">
                  <c:v>137138.21372726481</c:v>
                </c:pt>
                <c:pt idx="23">
                  <c:v>140582.25594057434</c:v>
                </c:pt>
              </c:numCache>
            </c:numRef>
          </c:val>
          <c:smooth val="0"/>
          <c:extLst>
            <c:ext xmlns:c16="http://schemas.microsoft.com/office/drawing/2014/chart" uri="{C3380CC4-5D6E-409C-BE32-E72D297353CC}">
              <c16:uniqueId val="{00000001-172B-4BFC-809D-B35FA8A70B31}"/>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rot="-2700000" anchorCtr="1"/>
          <a:lstStyle/>
          <a:p>
            <a:pPr>
              <a:defRPr sz="1000" b="1">
                <a:solidFill>
                  <a:srgbClr val="002060"/>
                </a:solidFill>
              </a:defRPr>
            </a:pPr>
            <a:endParaRPr lang="en-US"/>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n-IN" sz="1050" b="1"/>
                  <a:t>USD</a:t>
                </a:r>
              </a:p>
            </c:rich>
          </c:tx>
          <c:overlay val="0"/>
        </c:title>
        <c:numFmt formatCode="\$#,##0" sourceLinked="0"/>
        <c:majorTickMark val="none"/>
        <c:minorTickMark val="none"/>
        <c:tickLblPos val="nextTo"/>
        <c:txPr>
          <a:bodyPr/>
          <a:lstStyle/>
          <a:p>
            <a:pPr>
              <a:defRPr b="1">
                <a:solidFill>
                  <a:srgbClr val="002060"/>
                </a:solidFill>
              </a:defRPr>
            </a:pPr>
            <a:endParaRPr lang="en-US"/>
          </a:p>
        </c:txPr>
        <c:crossAx val="48650112"/>
        <c:crosses val="autoZero"/>
        <c:crossBetween val="between"/>
      </c:valAx>
    </c:plotArea>
    <c:legend>
      <c:legendPos val="b"/>
      <c:overlay val="0"/>
      <c:txPr>
        <a:bodyPr/>
        <a:lstStyle/>
        <a:p>
          <a:pPr>
            <a:defRPr b="1"/>
          </a:pPr>
          <a:endParaRPr lang="en-US"/>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lineChart>
        <c:grouping val="standard"/>
        <c:varyColors val="1"/>
        <c:ser>
          <c:idx val="0"/>
          <c:order val="0"/>
          <c:tx>
            <c:v>Ending Cash</c:v>
          </c:tx>
          <c:cat>
            <c:strRef>
              <c:f>Charts!$J$5:$J$28</c:f>
              <c:strCache>
                <c:ptCount val="24"/>
                <c:pt idx="0">
                  <c:v>May-26</c:v>
                </c:pt>
                <c:pt idx="1">
                  <c:v>Jun-26</c:v>
                </c:pt>
                <c:pt idx="2">
                  <c:v>Jul-26</c:v>
                </c:pt>
                <c:pt idx="3">
                  <c:v>Aug-26</c:v>
                </c:pt>
                <c:pt idx="4">
                  <c:v>Sep-26</c:v>
                </c:pt>
                <c:pt idx="5">
                  <c:v>Oct-26</c:v>
                </c:pt>
                <c:pt idx="6">
                  <c:v>Nov-26</c:v>
                </c:pt>
                <c:pt idx="7">
                  <c:v>Dec-26</c:v>
                </c:pt>
                <c:pt idx="8">
                  <c:v>Jan-27</c:v>
                </c:pt>
                <c:pt idx="9">
                  <c:v>Feb-27</c:v>
                </c:pt>
                <c:pt idx="10">
                  <c:v>Mar-27</c:v>
                </c:pt>
                <c:pt idx="11">
                  <c:v>Apr-27</c:v>
                </c:pt>
                <c:pt idx="12">
                  <c:v>May-27</c:v>
                </c:pt>
                <c:pt idx="13">
                  <c:v>Jun-27</c:v>
                </c:pt>
                <c:pt idx="14">
                  <c:v>Jul-27</c:v>
                </c:pt>
                <c:pt idx="15">
                  <c:v>Aug-27</c:v>
                </c:pt>
                <c:pt idx="16">
                  <c:v>Sep-27</c:v>
                </c:pt>
                <c:pt idx="17">
                  <c:v>Oct-27</c:v>
                </c:pt>
                <c:pt idx="18">
                  <c:v>Nov-27</c:v>
                </c:pt>
                <c:pt idx="19">
                  <c:v>Dec-27</c:v>
                </c:pt>
                <c:pt idx="20">
                  <c:v>Jan-28</c:v>
                </c:pt>
                <c:pt idx="21">
                  <c:v>Feb-28</c:v>
                </c:pt>
                <c:pt idx="22">
                  <c:v>Mar-28</c:v>
                </c:pt>
                <c:pt idx="23">
                  <c:v>Apr-28</c:v>
                </c:pt>
              </c:strCache>
            </c:strRef>
          </c:cat>
          <c:val>
            <c:numRef>
              <c:f>Charts!$K$5:$K$28</c:f>
              <c:numCache>
                <c:formatCode>\$#,##0;[Red]\(\$#,##0\);\-</c:formatCode>
                <c:ptCount val="24"/>
                <c:pt idx="0">
                  <c:v>369197.58750000002</c:v>
                </c:pt>
                <c:pt idx="1">
                  <c:v>340455.47692437499</c:v>
                </c:pt>
                <c:pt idx="2">
                  <c:v>313841.20667972695</c:v>
                </c:pt>
                <c:pt idx="3">
                  <c:v>283101.79523173184</c:v>
                </c:pt>
                <c:pt idx="4">
                  <c:v>254638.93947315382</c:v>
                </c:pt>
                <c:pt idx="5">
                  <c:v>218184.223676069</c:v>
                </c:pt>
                <c:pt idx="6">
                  <c:v>184174.33954097505</c:v>
                </c:pt>
                <c:pt idx="7">
                  <c:v>144651.31788151414</c:v>
                </c:pt>
                <c:pt idx="8">
                  <c:v>107762.7725108821</c:v>
                </c:pt>
                <c:pt idx="9">
                  <c:v>68437.156924695504</c:v>
                </c:pt>
                <c:pt idx="10">
                  <c:v>31959.034405215905</c:v>
                </c:pt>
                <c:pt idx="11">
                  <c:v>-16555.63779654773</c:v>
                </c:pt>
                <c:pt idx="12">
                  <c:v>-48691.959511143461</c:v>
                </c:pt>
                <c:pt idx="13">
                  <c:v>-77612.523208827726</c:v>
                </c:pt>
                <c:pt idx="14">
                  <c:v>-103180.33330442591</c:v>
                </c:pt>
                <c:pt idx="15">
                  <c:v>-125250.70840936663</c:v>
                </c:pt>
                <c:pt idx="16">
                  <c:v>-143670.91569104514</c:v>
                </c:pt>
                <c:pt idx="17">
                  <c:v>-158279.78645735409</c:v>
                </c:pt>
                <c:pt idx="18">
                  <c:v>-168907.31203979679</c:v>
                </c:pt>
                <c:pt idx="19">
                  <c:v>-175374.21900196013</c:v>
                </c:pt>
                <c:pt idx="20">
                  <c:v>-177491.52265116284</c:v>
                </c:pt>
                <c:pt idx="21">
                  <c:v>-175060.05777969296</c:v>
                </c:pt>
                <c:pt idx="22">
                  <c:v>-167869.98550808313</c:v>
                </c:pt>
                <c:pt idx="23">
                  <c:v>-155700.27504621705</c:v>
                </c:pt>
              </c:numCache>
            </c:numRef>
          </c:val>
          <c:smooth val="0"/>
          <c:extLst>
            <c:ext xmlns:c16="http://schemas.microsoft.com/office/drawing/2014/chart" uri="{C3380CC4-5D6E-409C-BE32-E72D297353CC}">
              <c16:uniqueId val="{00000000-C2E7-4F53-B296-9DB93C4C3ED0}"/>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1"/>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n-IN" sz="1050" b="1"/>
                  <a:t>USD</a:t>
                </a:r>
              </a:p>
            </c:rich>
          </c:tx>
          <c:overlay val="0"/>
        </c:title>
        <c:numFmt formatCode="\$#,##0;[Red]\(\$#,##0\)" sourceLinked="0"/>
        <c:majorTickMark val="none"/>
        <c:minorTickMark val="none"/>
        <c:tickLblPos val="nextTo"/>
        <c:txPr>
          <a:bodyPr/>
          <a:lstStyle/>
          <a:p>
            <a:pPr>
              <a:defRPr b="1"/>
            </a:pPr>
            <a:endParaRPr lang="en-US"/>
          </a:p>
        </c:txPr>
        <c:crossAx val="48650112"/>
        <c:crosses val="autoZero"/>
        <c:crossBetween val="between"/>
      </c:valAx>
    </c:plotArea>
    <c:legend>
      <c:legendPos val="b"/>
      <c:overlay val="0"/>
      <c:txPr>
        <a:bodyPr/>
        <a:lstStyle/>
        <a:p>
          <a:pPr>
            <a:defRPr b="1"/>
          </a:pPr>
          <a:endParaRPr lang="en-US"/>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lineChart>
        <c:grouping val="standard"/>
        <c:varyColors val="1"/>
        <c:ser>
          <c:idx val="0"/>
          <c:order val="0"/>
          <c:tx>
            <c:v>Ending Customers</c:v>
          </c:tx>
          <c:cat>
            <c:strRef>
              <c:f>Charts!$M$5:$M$28</c:f>
              <c:strCache>
                <c:ptCount val="24"/>
                <c:pt idx="0">
                  <c:v>May-26</c:v>
                </c:pt>
                <c:pt idx="1">
                  <c:v>Jun-26</c:v>
                </c:pt>
                <c:pt idx="2">
                  <c:v>Jul-26</c:v>
                </c:pt>
                <c:pt idx="3">
                  <c:v>Aug-26</c:v>
                </c:pt>
                <c:pt idx="4">
                  <c:v>Sep-26</c:v>
                </c:pt>
                <c:pt idx="5">
                  <c:v>Oct-26</c:v>
                </c:pt>
                <c:pt idx="6">
                  <c:v>Nov-26</c:v>
                </c:pt>
                <c:pt idx="7">
                  <c:v>Dec-26</c:v>
                </c:pt>
                <c:pt idx="8">
                  <c:v>Jan-27</c:v>
                </c:pt>
                <c:pt idx="9">
                  <c:v>Feb-27</c:v>
                </c:pt>
                <c:pt idx="10">
                  <c:v>Mar-27</c:v>
                </c:pt>
                <c:pt idx="11">
                  <c:v>Apr-27</c:v>
                </c:pt>
                <c:pt idx="12">
                  <c:v>May-27</c:v>
                </c:pt>
                <c:pt idx="13">
                  <c:v>Jun-27</c:v>
                </c:pt>
                <c:pt idx="14">
                  <c:v>Jul-27</c:v>
                </c:pt>
                <c:pt idx="15">
                  <c:v>Aug-27</c:v>
                </c:pt>
                <c:pt idx="16">
                  <c:v>Sep-27</c:v>
                </c:pt>
                <c:pt idx="17">
                  <c:v>Oct-27</c:v>
                </c:pt>
                <c:pt idx="18">
                  <c:v>Nov-27</c:v>
                </c:pt>
                <c:pt idx="19">
                  <c:v>Dec-27</c:v>
                </c:pt>
                <c:pt idx="20">
                  <c:v>Jan-28</c:v>
                </c:pt>
                <c:pt idx="21">
                  <c:v>Feb-28</c:v>
                </c:pt>
                <c:pt idx="22">
                  <c:v>Mar-28</c:v>
                </c:pt>
                <c:pt idx="23">
                  <c:v>Apr-28</c:v>
                </c:pt>
              </c:strCache>
            </c:strRef>
          </c:cat>
          <c:val>
            <c:numRef>
              <c:f>Charts!$N$5:$N$28</c:f>
              <c:numCache>
                <c:formatCode>#,##0.0;[Red]\(#,##0.0\);\-</c:formatCode>
                <c:ptCount val="24"/>
                <c:pt idx="0">
                  <c:v>56.5</c:v>
                </c:pt>
                <c:pt idx="1">
                  <c:v>63.205000000000005</c:v>
                </c:pt>
                <c:pt idx="2">
                  <c:v>70.12885</c:v>
                </c:pt>
                <c:pt idx="3">
                  <c:v>77.285984499999998</c:v>
                </c:pt>
                <c:pt idx="4">
                  <c:v>84.691454965000005</c:v>
                </c:pt>
                <c:pt idx="5">
                  <c:v>92.360963816050017</c:v>
                </c:pt>
                <c:pt idx="6">
                  <c:v>100.31090002656852</c:v>
                </c:pt>
                <c:pt idx="7">
                  <c:v>108.55837640702147</c:v>
                </c:pt>
                <c:pt idx="8">
                  <c:v>117.12126866512334</c:v>
                </c:pt>
                <c:pt idx="9">
                  <c:v>126.01825633299777</c:v>
                </c:pt>
                <c:pt idx="10">
                  <c:v>135.26886565722737</c:v>
                </c:pt>
                <c:pt idx="11">
                  <c:v>144.89351455244108</c:v>
                </c:pt>
                <c:pt idx="12">
                  <c:v>154.91355972404489</c:v>
                </c:pt>
                <c:pt idx="13">
                  <c:v>165.35134607090944</c:v>
                </c:pt>
                <c:pt idx="14">
                  <c:v>176.23025848429737</c:v>
                </c:pt>
                <c:pt idx="15">
                  <c:v>187.57477616505938</c:v>
                </c:pt>
                <c:pt idx="16">
                  <c:v>199.4105295871631</c:v>
                </c:pt>
                <c:pt idx="17">
                  <c:v>211.76436024195647</c:v>
                </c:pt>
                <c:pt idx="18">
                  <c:v>224.66438330422645</c:v>
                </c:pt>
                <c:pt idx="19">
                  <c:v>238.14005336810479</c:v>
                </c:pt>
                <c:pt idx="20">
                  <c:v>252.22223340821702</c:v>
                </c:pt>
                <c:pt idx="21">
                  <c:v>266.94326712918365</c:v>
                </c:pt>
                <c:pt idx="22">
                  <c:v>282.33705487468194</c:v>
                </c:pt>
                <c:pt idx="23">
                  <c:v>298.43913327578395</c:v>
                </c:pt>
              </c:numCache>
            </c:numRef>
          </c:val>
          <c:smooth val="0"/>
          <c:extLst>
            <c:ext xmlns:c16="http://schemas.microsoft.com/office/drawing/2014/chart" uri="{C3380CC4-5D6E-409C-BE32-E72D297353CC}">
              <c16:uniqueId val="{00000000-205F-40A9-B5C6-603F6C4A0723}"/>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rot="-2700000" anchorCtr="1"/>
          <a:lstStyle/>
          <a:p>
            <a:pPr>
              <a:defRPr sz="1050" b="1">
                <a:solidFill>
                  <a:srgbClr val="002060"/>
                </a:solidFill>
              </a:defRPr>
            </a:pPr>
            <a:endParaRPr lang="en-US"/>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n-IN" sz="1050" b="1"/>
                  <a:t>Customers</a:t>
                </a:r>
              </a:p>
            </c:rich>
          </c:tx>
          <c:overlay val="0"/>
        </c:title>
        <c:numFmt formatCode="0" sourceLinked="0"/>
        <c:majorTickMark val="none"/>
        <c:minorTickMark val="none"/>
        <c:tickLblPos val="nextTo"/>
        <c:txPr>
          <a:bodyPr/>
          <a:lstStyle/>
          <a:p>
            <a:pPr>
              <a:defRPr b="1">
                <a:solidFill>
                  <a:srgbClr val="002060"/>
                </a:solidFill>
              </a:defRPr>
            </a:pPr>
            <a:endParaRPr lang="en-US"/>
          </a:p>
        </c:txPr>
        <c:crossAx val="48650112"/>
        <c:crosses val="autoZero"/>
        <c:crossBetween val="between"/>
      </c:valAx>
    </c:plotArea>
    <c:legend>
      <c:legendPos val="b"/>
      <c:overlay val="0"/>
      <c:txPr>
        <a:bodyPr/>
        <a:lstStyle/>
        <a:p>
          <a:pPr>
            <a:defRPr b="1"/>
          </a:pPr>
          <a:endParaRPr lang="en-US"/>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15</xdr:col>
      <xdr:colOff>0</xdr:colOff>
      <xdr:row>1</xdr:row>
      <xdr:rowOff>0</xdr:rowOff>
    </xdr:from>
    <xdr:to>
      <xdr:col>32</xdr:col>
      <xdr:colOff>0</xdr:colOff>
      <xdr:row>18</xdr:row>
      <xdr:rowOff>0</xdr:rowOff>
    </xdr:to>
    <xdr:graphicFrame macro="">
      <xdr:nvGraphicFramePr>
        <xdr:cNvPr id="2" name="Chart">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20</xdr:row>
      <xdr:rowOff>0</xdr:rowOff>
    </xdr:from>
    <xdr:to>
      <xdr:col>32</xdr:col>
      <xdr:colOff>0</xdr:colOff>
      <xdr:row>37</xdr:row>
      <xdr:rowOff>0</xdr:rowOff>
    </xdr:to>
    <xdr:graphicFrame macro="">
      <xdr:nvGraphicFramePr>
        <xdr:cNvPr id="3" name="Chart">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39</xdr:row>
      <xdr:rowOff>0</xdr:rowOff>
    </xdr:from>
    <xdr:to>
      <xdr:col>32</xdr:col>
      <xdr:colOff>0</xdr:colOff>
      <xdr:row>56</xdr:row>
      <xdr:rowOff>0</xdr:rowOff>
    </xdr:to>
    <xdr:graphicFrame macro="">
      <xdr:nvGraphicFramePr>
        <xdr:cNvPr id="4" name="Chart">
          <a:extLst>
            <a:ext uri="{FF2B5EF4-FFF2-40B4-BE49-F238E27FC236}">
              <a16:creationId xmlns:a16="http://schemas.microsoft.com/office/drawing/2014/main" id="{00000000-0008-0000-0A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58</xdr:row>
      <xdr:rowOff>0</xdr:rowOff>
    </xdr:from>
    <xdr:to>
      <xdr:col>32</xdr:col>
      <xdr:colOff>0</xdr:colOff>
      <xdr:row>75</xdr:row>
      <xdr:rowOff>0</xdr:rowOff>
    </xdr:to>
    <xdr:graphicFrame macro="">
      <xdr:nvGraphicFramePr>
        <xdr:cNvPr id="5" name="Chart">
          <a:extLst>
            <a:ext uri="{FF2B5EF4-FFF2-40B4-BE49-F238E27FC236}">
              <a16:creationId xmlns:a16="http://schemas.microsoft.com/office/drawing/2014/main" id="{00000000-0008-0000-0A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A4E7E3A-E9ED-469D-A66F-4438C79F099D}">
  <we:reference id="wa200010215" version="1.0.0.0" store="en-US" storeType="OMEX"/>
  <we:alternateReferences>
    <we:reference id="WA200010215" version="1.0.0.0" store="" storeType="OMEX"/>
  </we:alternateReferences>
  <we:properties/>
  <we:bindings/>
  <we:snapshot xmlns:r="http://schemas.openxmlformats.org/officeDocument/2006/relationships"/>
</we:webextension>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80"/>
  <sheetViews>
    <sheetView showGridLines="0" workbookViewId="0">
      <selection activeCell="D6" sqref="D6"/>
    </sheetView>
  </sheetViews>
  <sheetFormatPr defaultRowHeight="13.8"/>
  <cols>
    <col min="1" max="1" width="28" customWidth="1"/>
    <col min="2" max="2" width="75" customWidth="1"/>
    <col min="3" max="8" width="12" customWidth="1"/>
  </cols>
  <sheetData>
    <row r="1" spans="1:27" ht="20.399999999999999">
      <c r="A1" s="57" t="s">
        <v>0</v>
      </c>
      <c r="B1" s="58"/>
      <c r="C1" s="58"/>
      <c r="D1" s="58"/>
      <c r="E1" s="58"/>
      <c r="F1" s="58"/>
      <c r="G1" s="58"/>
      <c r="H1" s="58"/>
      <c r="I1" s="2"/>
      <c r="J1" s="2"/>
      <c r="K1" s="2"/>
      <c r="L1" s="2"/>
      <c r="M1" s="2"/>
      <c r="N1" s="2"/>
      <c r="O1" s="2"/>
      <c r="P1" s="2"/>
      <c r="Q1" s="2"/>
      <c r="R1" s="2"/>
      <c r="S1" s="2"/>
      <c r="T1" s="2"/>
      <c r="U1" s="2"/>
      <c r="V1" s="2"/>
      <c r="W1" s="2"/>
      <c r="X1" s="2"/>
      <c r="Y1" s="2"/>
      <c r="Z1" s="2"/>
      <c r="AA1" s="2"/>
    </row>
    <row r="2" spans="1:27">
      <c r="A2" s="2"/>
      <c r="B2" s="2"/>
      <c r="C2" s="2"/>
      <c r="D2" s="2"/>
      <c r="E2" s="2"/>
      <c r="F2" s="2"/>
      <c r="G2" s="2"/>
      <c r="H2" s="2"/>
      <c r="I2" s="2"/>
      <c r="J2" s="2"/>
      <c r="K2" s="2"/>
      <c r="L2" s="2"/>
      <c r="M2" s="2"/>
      <c r="N2" s="2"/>
      <c r="O2" s="2"/>
      <c r="P2" s="2"/>
      <c r="Q2" s="2"/>
      <c r="R2" s="2"/>
      <c r="S2" s="2"/>
      <c r="T2" s="2"/>
      <c r="U2" s="2"/>
      <c r="V2" s="2"/>
      <c r="W2" s="2"/>
      <c r="X2" s="2"/>
      <c r="Y2" s="2"/>
      <c r="Z2" s="2"/>
      <c r="AA2" s="2"/>
    </row>
    <row r="3" spans="1:27">
      <c r="A3" s="1" t="s">
        <v>1</v>
      </c>
      <c r="B3" s="1" t="s">
        <v>2</v>
      </c>
      <c r="C3" s="2"/>
      <c r="D3" s="2"/>
      <c r="E3" s="2"/>
      <c r="F3" s="2"/>
      <c r="G3" s="2"/>
      <c r="H3" s="2"/>
      <c r="I3" s="2"/>
      <c r="J3" s="2"/>
      <c r="K3" s="2"/>
      <c r="L3" s="2"/>
      <c r="M3" s="2"/>
      <c r="N3" s="2"/>
      <c r="O3" s="2"/>
      <c r="P3" s="2"/>
      <c r="Q3" s="2"/>
      <c r="R3" s="2"/>
      <c r="S3" s="2"/>
      <c r="T3" s="2"/>
      <c r="U3" s="2"/>
      <c r="V3" s="2"/>
      <c r="W3" s="2"/>
      <c r="X3" s="2"/>
      <c r="Y3" s="2"/>
      <c r="Z3" s="2"/>
      <c r="AA3" s="2"/>
    </row>
    <row r="4" spans="1:27">
      <c r="A4" s="3" t="s">
        <v>3</v>
      </c>
      <c r="B4" s="2" t="s">
        <v>4</v>
      </c>
      <c r="C4" s="2"/>
      <c r="D4" s="2"/>
      <c r="E4" s="2"/>
      <c r="F4" s="2"/>
      <c r="G4" s="2"/>
      <c r="H4" s="2"/>
      <c r="I4" s="2"/>
      <c r="J4" s="2"/>
      <c r="K4" s="2"/>
      <c r="L4" s="2"/>
      <c r="M4" s="2"/>
      <c r="N4" s="2"/>
      <c r="O4" s="2"/>
      <c r="P4" s="2"/>
      <c r="Q4" s="2"/>
      <c r="R4" s="2"/>
      <c r="S4" s="2"/>
      <c r="T4" s="2"/>
      <c r="U4" s="2"/>
      <c r="V4" s="2"/>
      <c r="W4" s="2"/>
      <c r="X4" s="2"/>
      <c r="Y4" s="2"/>
      <c r="Z4" s="2"/>
      <c r="AA4" s="2"/>
    </row>
    <row r="5" spans="1:27">
      <c r="A5" s="3" t="s">
        <v>5</v>
      </c>
      <c r="B5" s="2" t="s">
        <v>6</v>
      </c>
      <c r="C5" s="2"/>
      <c r="D5" s="2"/>
      <c r="E5" s="2"/>
      <c r="F5" s="2"/>
      <c r="G5" s="2"/>
      <c r="H5" s="2"/>
      <c r="I5" s="2"/>
      <c r="J5" s="2"/>
      <c r="K5" s="2"/>
      <c r="L5" s="2"/>
      <c r="M5" s="2"/>
      <c r="N5" s="2"/>
      <c r="O5" s="2"/>
      <c r="P5" s="2"/>
      <c r="Q5" s="2"/>
      <c r="R5" s="2"/>
      <c r="S5" s="2"/>
      <c r="T5" s="2"/>
      <c r="U5" s="2"/>
      <c r="V5" s="2"/>
      <c r="W5" s="2"/>
      <c r="X5" s="2"/>
      <c r="Y5" s="2"/>
      <c r="Z5" s="2"/>
      <c r="AA5" s="2"/>
    </row>
    <row r="6" spans="1:27">
      <c r="A6" s="3" t="s">
        <v>7</v>
      </c>
      <c r="B6" s="2" t="s">
        <v>8</v>
      </c>
      <c r="C6" s="2"/>
      <c r="D6" s="2"/>
      <c r="E6" s="2"/>
      <c r="F6" s="2"/>
      <c r="G6" s="2"/>
      <c r="H6" s="2"/>
      <c r="I6" s="2"/>
      <c r="J6" s="2"/>
      <c r="K6" s="2"/>
      <c r="L6" s="2"/>
      <c r="M6" s="2"/>
      <c r="N6" s="2"/>
      <c r="O6" s="2"/>
      <c r="P6" s="2"/>
      <c r="Q6" s="2"/>
      <c r="R6" s="2"/>
      <c r="S6" s="2"/>
      <c r="T6" s="2"/>
      <c r="U6" s="2"/>
      <c r="V6" s="2"/>
      <c r="W6" s="2"/>
      <c r="X6" s="2"/>
      <c r="Y6" s="2"/>
      <c r="Z6" s="2"/>
      <c r="AA6" s="2"/>
    </row>
    <row r="7" spans="1:27">
      <c r="A7" s="3" t="s">
        <v>9</v>
      </c>
      <c r="B7" s="2" t="s">
        <v>10</v>
      </c>
      <c r="C7" s="2"/>
      <c r="D7" s="2"/>
      <c r="E7" s="2"/>
      <c r="F7" s="2"/>
      <c r="G7" s="2"/>
      <c r="H7" s="2"/>
      <c r="I7" s="2"/>
      <c r="J7" s="2"/>
      <c r="K7" s="2"/>
      <c r="L7" s="2"/>
      <c r="M7" s="2"/>
      <c r="N7" s="2"/>
      <c r="O7" s="2"/>
      <c r="P7" s="2"/>
      <c r="Q7" s="2"/>
      <c r="R7" s="2"/>
      <c r="S7" s="2"/>
      <c r="T7" s="2"/>
      <c r="U7" s="2"/>
      <c r="V7" s="2"/>
      <c r="W7" s="2"/>
      <c r="X7" s="2"/>
      <c r="Y7" s="2"/>
      <c r="Z7" s="2"/>
      <c r="AA7" s="2"/>
    </row>
    <row r="8" spans="1:27">
      <c r="A8" s="3" t="s">
        <v>11</v>
      </c>
      <c r="B8" s="2" t="s">
        <v>12</v>
      </c>
      <c r="C8" s="2"/>
      <c r="D8" s="2"/>
      <c r="E8" s="2"/>
      <c r="F8" s="2"/>
      <c r="G8" s="2"/>
      <c r="H8" s="2"/>
      <c r="I8" s="2"/>
      <c r="J8" s="2"/>
      <c r="K8" s="2"/>
      <c r="L8" s="2"/>
      <c r="M8" s="2"/>
      <c r="N8" s="2"/>
      <c r="O8" s="2"/>
      <c r="P8" s="2"/>
      <c r="Q8" s="2"/>
      <c r="R8" s="2"/>
      <c r="S8" s="2"/>
      <c r="T8" s="2"/>
      <c r="U8" s="2"/>
      <c r="V8" s="2"/>
      <c r="W8" s="2"/>
      <c r="X8" s="2"/>
      <c r="Y8" s="2"/>
      <c r="Z8" s="2"/>
      <c r="AA8" s="2"/>
    </row>
    <row r="9" spans="1:27">
      <c r="A9" s="3" t="s">
        <v>13</v>
      </c>
      <c r="B9" s="2" t="s">
        <v>14</v>
      </c>
      <c r="C9" s="2"/>
      <c r="D9" s="2"/>
      <c r="E9" s="2"/>
      <c r="F9" s="2"/>
      <c r="G9" s="2"/>
      <c r="H9" s="2"/>
      <c r="I9" s="2"/>
      <c r="J9" s="2"/>
      <c r="K9" s="2"/>
      <c r="L9" s="2"/>
      <c r="M9" s="2"/>
      <c r="N9" s="2"/>
      <c r="O9" s="2"/>
      <c r="P9" s="2"/>
      <c r="Q9" s="2"/>
      <c r="R9" s="2"/>
      <c r="S9" s="2"/>
      <c r="T9" s="2"/>
      <c r="U9" s="2"/>
      <c r="V9" s="2"/>
      <c r="W9" s="2"/>
      <c r="X9" s="2"/>
      <c r="Y9" s="2"/>
      <c r="Z9" s="2"/>
      <c r="AA9" s="2"/>
    </row>
    <row r="10" spans="1:27">
      <c r="A10" s="3" t="s">
        <v>15</v>
      </c>
      <c r="B10" s="2" t="s">
        <v>16</v>
      </c>
      <c r="C10" s="2"/>
      <c r="D10" s="2"/>
      <c r="E10" s="2"/>
      <c r="F10" s="2"/>
      <c r="G10" s="2"/>
      <c r="H10" s="2"/>
      <c r="I10" s="2"/>
      <c r="J10" s="2"/>
      <c r="K10" s="2"/>
      <c r="L10" s="2"/>
      <c r="M10" s="2"/>
      <c r="N10" s="2"/>
      <c r="O10" s="2"/>
      <c r="P10" s="2"/>
      <c r="Q10" s="2"/>
      <c r="R10" s="2"/>
      <c r="S10" s="2"/>
      <c r="T10" s="2"/>
      <c r="U10" s="2"/>
      <c r="V10" s="2"/>
      <c r="W10" s="2"/>
      <c r="X10" s="2"/>
      <c r="Y10" s="2"/>
      <c r="Z10" s="2"/>
      <c r="AA10" s="2"/>
    </row>
    <row r="11" spans="1:27">
      <c r="A11" s="2"/>
      <c r="B11" s="2"/>
      <c r="C11" s="2"/>
      <c r="D11" s="2"/>
      <c r="E11" s="2"/>
      <c r="F11" s="2"/>
      <c r="G11" s="2"/>
      <c r="H11" s="2"/>
      <c r="I11" s="2"/>
      <c r="J11" s="2"/>
      <c r="K11" s="2"/>
      <c r="L11" s="2"/>
      <c r="M11" s="2"/>
      <c r="N11" s="2"/>
      <c r="O11" s="2"/>
      <c r="P11" s="2"/>
      <c r="Q11" s="2"/>
      <c r="R11" s="2"/>
      <c r="S11" s="2"/>
      <c r="T11" s="2"/>
      <c r="U11" s="2"/>
      <c r="V11" s="2"/>
      <c r="W11" s="2"/>
      <c r="X11" s="2"/>
      <c r="Y11" s="2"/>
      <c r="Z11" s="2"/>
      <c r="AA11" s="2"/>
    </row>
    <row r="12" spans="1:27">
      <c r="A12" s="55" t="s">
        <v>17</v>
      </c>
      <c r="B12" s="56"/>
      <c r="C12" s="56"/>
      <c r="D12" s="56"/>
      <c r="E12" s="56"/>
      <c r="F12" s="56"/>
      <c r="G12" s="56"/>
      <c r="H12" s="56"/>
      <c r="I12" s="2"/>
      <c r="J12" s="2"/>
      <c r="K12" s="2"/>
      <c r="L12" s="2"/>
      <c r="M12" s="2"/>
      <c r="N12" s="2"/>
      <c r="O12" s="2"/>
      <c r="P12" s="2"/>
      <c r="Q12" s="2"/>
      <c r="R12" s="2"/>
      <c r="S12" s="2"/>
      <c r="T12" s="2"/>
      <c r="U12" s="2"/>
      <c r="V12" s="2"/>
      <c r="W12" s="2"/>
      <c r="X12" s="2"/>
      <c r="Y12" s="2"/>
      <c r="Z12" s="2"/>
      <c r="AA12" s="2"/>
    </row>
    <row r="13" spans="1:27">
      <c r="A13" s="4" t="s">
        <v>18</v>
      </c>
      <c r="B13" s="2" t="s">
        <v>19</v>
      </c>
      <c r="C13" s="2"/>
      <c r="D13" s="2"/>
      <c r="E13" s="2"/>
      <c r="F13" s="2"/>
      <c r="G13" s="2"/>
      <c r="H13" s="2"/>
      <c r="I13" s="2"/>
      <c r="J13" s="2"/>
      <c r="K13" s="2"/>
      <c r="L13" s="2"/>
      <c r="M13" s="2"/>
      <c r="N13" s="2"/>
      <c r="O13" s="2"/>
      <c r="P13" s="2"/>
      <c r="Q13" s="2"/>
      <c r="R13" s="2"/>
      <c r="S13" s="2"/>
      <c r="T13" s="2"/>
      <c r="U13" s="2"/>
      <c r="V13" s="2"/>
      <c r="W13" s="2"/>
      <c r="X13" s="2"/>
      <c r="Y13" s="2"/>
      <c r="Z13" s="2"/>
      <c r="AA13" s="2"/>
    </row>
    <row r="14" spans="1:27">
      <c r="A14" s="4" t="s">
        <v>20</v>
      </c>
      <c r="B14" s="2" t="s">
        <v>21</v>
      </c>
      <c r="C14" s="2"/>
      <c r="D14" s="2"/>
      <c r="E14" s="2"/>
      <c r="F14" s="2"/>
      <c r="G14" s="2"/>
      <c r="H14" s="2"/>
      <c r="I14" s="2"/>
      <c r="J14" s="2"/>
      <c r="K14" s="2"/>
      <c r="L14" s="2"/>
      <c r="M14" s="2"/>
      <c r="N14" s="2"/>
      <c r="O14" s="2"/>
      <c r="P14" s="2"/>
      <c r="Q14" s="2"/>
      <c r="R14" s="2"/>
      <c r="S14" s="2"/>
      <c r="T14" s="2"/>
      <c r="U14" s="2"/>
      <c r="V14" s="2"/>
      <c r="W14" s="2"/>
      <c r="X14" s="2"/>
      <c r="Y14" s="2"/>
      <c r="Z14" s="2"/>
      <c r="AA14" s="2"/>
    </row>
    <row r="15" spans="1:27">
      <c r="A15" s="4" t="s">
        <v>22</v>
      </c>
      <c r="B15" s="2" t="s">
        <v>23</v>
      </c>
      <c r="C15" s="2"/>
      <c r="D15" s="2"/>
      <c r="E15" s="2"/>
      <c r="F15" s="2"/>
      <c r="G15" s="2"/>
      <c r="H15" s="2"/>
      <c r="I15" s="2"/>
      <c r="J15" s="2"/>
      <c r="K15" s="2"/>
      <c r="L15" s="2"/>
      <c r="M15" s="2"/>
      <c r="N15" s="2"/>
      <c r="O15" s="2"/>
      <c r="P15" s="2"/>
      <c r="Q15" s="2"/>
      <c r="R15" s="2"/>
      <c r="S15" s="2"/>
      <c r="T15" s="2"/>
      <c r="U15" s="2"/>
      <c r="V15" s="2"/>
      <c r="W15" s="2"/>
      <c r="X15" s="2"/>
      <c r="Y15" s="2"/>
      <c r="Z15" s="2"/>
      <c r="AA15" s="2"/>
    </row>
    <row r="16" spans="1:27">
      <c r="A16" s="4" t="s">
        <v>24</v>
      </c>
      <c r="B16" s="2" t="s">
        <v>25</v>
      </c>
      <c r="C16" s="2"/>
      <c r="D16" s="2"/>
      <c r="E16" s="2"/>
      <c r="F16" s="2"/>
      <c r="G16" s="2"/>
      <c r="H16" s="2"/>
      <c r="I16" s="2"/>
      <c r="J16" s="2"/>
      <c r="K16" s="2"/>
      <c r="L16" s="2"/>
      <c r="M16" s="2"/>
      <c r="N16" s="2"/>
      <c r="O16" s="2"/>
      <c r="P16" s="2"/>
      <c r="Q16" s="2"/>
      <c r="R16" s="2"/>
      <c r="S16" s="2"/>
      <c r="T16" s="2"/>
      <c r="U16" s="2"/>
      <c r="V16" s="2"/>
      <c r="W16" s="2"/>
      <c r="X16" s="2"/>
      <c r="Y16" s="2"/>
      <c r="Z16" s="2"/>
      <c r="AA16" s="2"/>
    </row>
    <row r="17" spans="1:27">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spans="1:27">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spans="1:27">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spans="1:27">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spans="1:27">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spans="1:27">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spans="1:27">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spans="1:27">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spans="1:27">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spans="1:27">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spans="1: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spans="1:27">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spans="1:27">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spans="1:27">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spans="1:27">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spans="1:27">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spans="1:27">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spans="1:27">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spans="1:27">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c r="A80" s="2"/>
      <c r="B80" s="2"/>
      <c r="C80" s="2"/>
      <c r="D80" s="2"/>
      <c r="E80" s="2"/>
      <c r="F80" s="2"/>
      <c r="G80" s="2"/>
      <c r="H80" s="2"/>
      <c r="I80" s="2"/>
      <c r="J80" s="2"/>
      <c r="K80" s="2"/>
      <c r="L80" s="2"/>
      <c r="M80" s="2"/>
      <c r="N80" s="2"/>
      <c r="O80" s="2"/>
      <c r="P80" s="2"/>
      <c r="Q80" s="2"/>
      <c r="R80" s="2"/>
      <c r="S80" s="2"/>
      <c r="T80" s="2"/>
      <c r="U80" s="2"/>
      <c r="V80" s="2"/>
      <c r="W80" s="2"/>
      <c r="X80" s="2"/>
      <c r="Y80" s="2"/>
      <c r="Z80" s="2"/>
      <c r="AA80" s="2"/>
    </row>
  </sheetData>
  <mergeCells count="2">
    <mergeCell ref="A12:H12"/>
    <mergeCell ref="A1:H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80"/>
  <sheetViews>
    <sheetView showGridLines="0" workbookViewId="0">
      <selection activeCell="D17" sqref="D17"/>
    </sheetView>
  </sheetViews>
  <sheetFormatPr defaultRowHeight="13.8"/>
  <cols>
    <col min="1" max="1" width="32" customWidth="1"/>
    <col min="2" max="2" width="22" customWidth="1"/>
    <col min="3" max="3" width="20" customWidth="1"/>
    <col min="4" max="4" width="22" customWidth="1"/>
    <col min="5" max="5" width="40" customWidth="1"/>
  </cols>
  <sheetData>
    <row r="1" spans="1:27">
      <c r="A1" s="55" t="s">
        <v>26</v>
      </c>
      <c r="B1" s="56"/>
      <c r="C1" s="56"/>
      <c r="D1" s="56"/>
      <c r="E1" s="56"/>
      <c r="F1" s="2"/>
      <c r="G1" s="2"/>
      <c r="H1" s="2"/>
      <c r="I1" s="2"/>
      <c r="J1" s="2"/>
      <c r="K1" s="2"/>
      <c r="L1" s="2"/>
      <c r="M1" s="2"/>
      <c r="N1" s="2"/>
      <c r="O1" s="2"/>
      <c r="P1" s="2"/>
      <c r="Q1" s="2"/>
      <c r="R1" s="2"/>
      <c r="S1" s="2"/>
      <c r="T1" s="2"/>
      <c r="U1" s="2"/>
      <c r="V1" s="2"/>
      <c r="W1" s="2"/>
      <c r="X1" s="2"/>
      <c r="Y1" s="2"/>
      <c r="Z1" s="2"/>
      <c r="AA1" s="2"/>
    </row>
    <row r="2" spans="1:27">
      <c r="A2" s="1" t="s">
        <v>27</v>
      </c>
      <c r="B2" s="1" t="s">
        <v>28</v>
      </c>
      <c r="C2" s="1" t="s">
        <v>29</v>
      </c>
      <c r="D2" s="1" t="s">
        <v>30</v>
      </c>
      <c r="E2" s="1" t="s">
        <v>31</v>
      </c>
      <c r="F2" s="2"/>
      <c r="G2" s="2"/>
      <c r="H2" s="2"/>
      <c r="I2" s="2"/>
      <c r="J2" s="2"/>
      <c r="K2" s="2"/>
      <c r="L2" s="2"/>
      <c r="M2" s="2"/>
      <c r="N2" s="2"/>
      <c r="O2" s="2"/>
      <c r="P2" s="2"/>
      <c r="Q2" s="2"/>
      <c r="R2" s="2"/>
      <c r="S2" s="2"/>
      <c r="T2" s="2"/>
      <c r="U2" s="2"/>
      <c r="V2" s="2"/>
      <c r="W2" s="2"/>
      <c r="X2" s="2"/>
      <c r="Y2" s="2"/>
      <c r="Z2" s="2"/>
      <c r="AA2" s="2"/>
    </row>
    <row r="3" spans="1:27">
      <c r="A3" s="5" t="s">
        <v>32</v>
      </c>
      <c r="B3" s="5"/>
      <c r="C3" s="5"/>
      <c r="D3" s="5"/>
      <c r="E3" s="5"/>
      <c r="F3" s="2"/>
      <c r="G3" s="2"/>
      <c r="H3" s="2"/>
      <c r="I3" s="2"/>
      <c r="J3" s="2"/>
      <c r="K3" s="2"/>
      <c r="L3" s="2"/>
      <c r="M3" s="2"/>
      <c r="N3" s="2"/>
      <c r="O3" s="2"/>
      <c r="P3" s="2"/>
      <c r="Q3" s="2"/>
      <c r="R3" s="2"/>
      <c r="S3" s="2"/>
      <c r="T3" s="2"/>
      <c r="U3" s="2"/>
      <c r="V3" s="2"/>
      <c r="W3" s="2"/>
      <c r="X3" s="2"/>
      <c r="Y3" s="2"/>
      <c r="Z3" s="2"/>
      <c r="AA3" s="2"/>
    </row>
    <row r="4" spans="1:27">
      <c r="A4" s="6" t="s">
        <v>33</v>
      </c>
      <c r="B4" s="6" t="s">
        <v>34</v>
      </c>
      <c r="C4" s="7" t="s">
        <v>35</v>
      </c>
      <c r="D4" s="8" t="s">
        <v>36</v>
      </c>
      <c r="E4" s="8" t="s">
        <v>37</v>
      </c>
      <c r="F4" s="2"/>
      <c r="G4" s="2"/>
      <c r="H4" s="2"/>
      <c r="I4" s="2"/>
      <c r="J4" s="2"/>
      <c r="K4" s="2"/>
      <c r="L4" s="2"/>
      <c r="M4" s="2"/>
      <c r="N4" s="2"/>
      <c r="O4" s="2"/>
      <c r="P4" s="2"/>
      <c r="Q4" s="2"/>
      <c r="R4" s="2"/>
      <c r="S4" s="2"/>
      <c r="T4" s="2"/>
      <c r="U4" s="2"/>
      <c r="V4" s="2"/>
      <c r="W4" s="2"/>
      <c r="X4" s="2"/>
      <c r="Y4" s="2"/>
      <c r="Z4" s="2"/>
      <c r="AA4" s="2"/>
    </row>
    <row r="5" spans="1:27">
      <c r="A5" s="6" t="s">
        <v>38</v>
      </c>
      <c r="B5" s="6" t="s">
        <v>39</v>
      </c>
      <c r="C5" s="9">
        <v>46143</v>
      </c>
      <c r="D5" s="8" t="s">
        <v>316</v>
      </c>
      <c r="E5" s="8" t="s">
        <v>40</v>
      </c>
      <c r="F5" s="2"/>
      <c r="G5" s="2"/>
      <c r="H5" s="2"/>
      <c r="I5" s="2"/>
      <c r="J5" s="2"/>
      <c r="K5" s="2"/>
      <c r="L5" s="2"/>
      <c r="M5" s="2"/>
      <c r="N5" s="2"/>
      <c r="O5" s="2"/>
      <c r="P5" s="2"/>
      <c r="Q5" s="2"/>
      <c r="R5" s="2"/>
      <c r="S5" s="2"/>
      <c r="T5" s="2"/>
      <c r="U5" s="2"/>
      <c r="V5" s="2"/>
      <c r="W5" s="2"/>
      <c r="X5" s="2"/>
      <c r="Y5" s="2"/>
      <c r="Z5" s="2"/>
      <c r="AA5" s="2"/>
    </row>
    <row r="6" spans="1:27">
      <c r="A6" s="6" t="s">
        <v>5</v>
      </c>
      <c r="B6" s="6" t="s">
        <v>41</v>
      </c>
      <c r="C6" s="10">
        <v>24</v>
      </c>
      <c r="D6" s="8" t="s">
        <v>36</v>
      </c>
      <c r="E6" s="8" t="s">
        <v>42</v>
      </c>
      <c r="F6" s="2"/>
      <c r="G6" s="2"/>
      <c r="H6" s="2"/>
      <c r="I6" s="2"/>
      <c r="J6" s="2"/>
      <c r="K6" s="2"/>
      <c r="L6" s="2"/>
      <c r="M6" s="2"/>
      <c r="N6" s="2"/>
      <c r="O6" s="2"/>
      <c r="P6" s="2"/>
      <c r="Q6" s="2"/>
      <c r="R6" s="2"/>
      <c r="S6" s="2"/>
      <c r="T6" s="2"/>
      <c r="U6" s="2"/>
      <c r="V6" s="2"/>
      <c r="W6" s="2"/>
      <c r="X6" s="2"/>
      <c r="Y6" s="2"/>
      <c r="Z6" s="2"/>
      <c r="AA6" s="2"/>
    </row>
    <row r="7" spans="1:27">
      <c r="A7" s="6" t="s">
        <v>3</v>
      </c>
      <c r="B7" s="6" t="s">
        <v>34</v>
      </c>
      <c r="C7" s="10" t="s">
        <v>4</v>
      </c>
      <c r="D7" s="8" t="s">
        <v>36</v>
      </c>
      <c r="E7" s="8"/>
      <c r="F7" s="2"/>
      <c r="G7" s="2"/>
      <c r="H7" s="2"/>
      <c r="I7" s="2"/>
      <c r="J7" s="2"/>
      <c r="K7" s="2"/>
      <c r="L7" s="2"/>
      <c r="M7" s="2"/>
      <c r="N7" s="2"/>
      <c r="O7" s="2"/>
      <c r="P7" s="2"/>
      <c r="Q7" s="2"/>
      <c r="R7" s="2"/>
      <c r="S7" s="2"/>
      <c r="T7" s="2"/>
      <c r="U7" s="2"/>
      <c r="V7" s="2"/>
      <c r="W7" s="2"/>
      <c r="X7" s="2"/>
      <c r="Y7" s="2"/>
      <c r="Z7" s="2"/>
      <c r="AA7" s="2"/>
    </row>
    <row r="8" spans="1:27">
      <c r="A8" s="6" t="s">
        <v>43</v>
      </c>
      <c r="B8" s="6" t="s">
        <v>44</v>
      </c>
      <c r="C8" s="10">
        <v>400000</v>
      </c>
      <c r="D8" s="8" t="s">
        <v>36</v>
      </c>
      <c r="E8" s="8" t="s">
        <v>45</v>
      </c>
      <c r="F8" s="2"/>
      <c r="G8" s="2"/>
      <c r="H8" s="2"/>
      <c r="I8" s="2"/>
      <c r="J8" s="2"/>
      <c r="K8" s="2"/>
      <c r="L8" s="2"/>
      <c r="M8" s="2"/>
      <c r="N8" s="2"/>
      <c r="O8" s="2"/>
      <c r="P8" s="2"/>
      <c r="Q8" s="2"/>
      <c r="R8" s="2"/>
      <c r="S8" s="2"/>
      <c r="T8" s="2"/>
      <c r="U8" s="2"/>
      <c r="V8" s="2"/>
      <c r="W8" s="2"/>
      <c r="X8" s="2"/>
      <c r="Y8" s="2"/>
      <c r="Z8" s="2"/>
      <c r="AA8" s="2"/>
    </row>
    <row r="9" spans="1:27">
      <c r="A9" s="6" t="s">
        <v>46</v>
      </c>
      <c r="B9" s="6" t="s">
        <v>44</v>
      </c>
      <c r="C9" s="10">
        <v>75000</v>
      </c>
      <c r="D9" s="8" t="s">
        <v>316</v>
      </c>
      <c r="E9" s="8" t="s">
        <v>47</v>
      </c>
      <c r="F9" s="2"/>
      <c r="G9" s="2"/>
      <c r="H9" s="2"/>
      <c r="I9" s="2"/>
      <c r="J9" s="2"/>
      <c r="K9" s="2"/>
      <c r="L9" s="2"/>
      <c r="M9" s="2"/>
      <c r="N9" s="2"/>
      <c r="O9" s="2"/>
      <c r="P9" s="2"/>
      <c r="Q9" s="2"/>
      <c r="R9" s="2"/>
      <c r="S9" s="2"/>
      <c r="T9" s="2"/>
      <c r="U9" s="2"/>
      <c r="V9" s="2"/>
      <c r="W9" s="2"/>
      <c r="X9" s="2"/>
      <c r="Y9" s="2"/>
      <c r="Z9" s="2"/>
      <c r="AA9" s="2"/>
    </row>
    <row r="10" spans="1:27">
      <c r="A10" s="8"/>
      <c r="B10" s="8"/>
      <c r="C10" s="11"/>
      <c r="D10" s="8"/>
      <c r="E10" s="8"/>
      <c r="F10" s="2"/>
      <c r="G10" s="2"/>
      <c r="H10" s="2"/>
      <c r="I10" s="2"/>
      <c r="J10" s="2"/>
      <c r="K10" s="2"/>
      <c r="L10" s="2"/>
      <c r="M10" s="2"/>
      <c r="N10" s="2"/>
      <c r="O10" s="2"/>
      <c r="P10" s="2"/>
      <c r="Q10" s="2"/>
      <c r="R10" s="2"/>
      <c r="S10" s="2"/>
      <c r="T10" s="2"/>
      <c r="U10" s="2"/>
      <c r="V10" s="2"/>
      <c r="W10" s="2"/>
      <c r="X10" s="2"/>
      <c r="Y10" s="2"/>
      <c r="Z10" s="2"/>
      <c r="AA10" s="2"/>
    </row>
    <row r="11" spans="1:27">
      <c r="A11" s="5" t="s">
        <v>48</v>
      </c>
      <c r="B11" s="5"/>
      <c r="C11" s="12"/>
      <c r="D11" s="5"/>
      <c r="E11" s="5"/>
      <c r="F11" s="2"/>
      <c r="G11" s="2"/>
      <c r="H11" s="2"/>
      <c r="I11" s="2"/>
      <c r="J11" s="2"/>
      <c r="K11" s="2"/>
      <c r="L11" s="2"/>
      <c r="M11" s="2"/>
      <c r="N11" s="2"/>
      <c r="O11" s="2"/>
      <c r="P11" s="2"/>
      <c r="Q11" s="2"/>
      <c r="R11" s="2"/>
      <c r="S11" s="2"/>
      <c r="T11" s="2"/>
      <c r="U11" s="2"/>
      <c r="V11" s="2"/>
      <c r="W11" s="2"/>
      <c r="X11" s="2"/>
      <c r="Y11" s="2"/>
      <c r="Z11" s="2"/>
      <c r="AA11" s="2"/>
    </row>
    <row r="12" spans="1:27">
      <c r="A12" s="6" t="s">
        <v>49</v>
      </c>
      <c r="B12" s="6" t="s">
        <v>50</v>
      </c>
      <c r="C12" s="10">
        <v>50</v>
      </c>
      <c r="D12" s="8" t="s">
        <v>36</v>
      </c>
      <c r="E12" s="8" t="s">
        <v>51</v>
      </c>
      <c r="F12" s="2"/>
      <c r="G12" s="2"/>
      <c r="H12" s="2"/>
      <c r="I12" s="2"/>
      <c r="J12" s="2"/>
      <c r="K12" s="2"/>
      <c r="L12" s="2"/>
      <c r="M12" s="2"/>
      <c r="N12" s="2"/>
      <c r="O12" s="2"/>
      <c r="P12" s="2"/>
      <c r="Q12" s="2"/>
      <c r="R12" s="2"/>
      <c r="S12" s="2"/>
      <c r="T12" s="2"/>
      <c r="U12" s="2"/>
      <c r="V12" s="2"/>
      <c r="W12" s="2"/>
      <c r="X12" s="2"/>
      <c r="Y12" s="2"/>
      <c r="Z12" s="2"/>
      <c r="AA12" s="2"/>
    </row>
    <row r="13" spans="1:27">
      <c r="A13" s="6" t="s">
        <v>52</v>
      </c>
      <c r="B13" s="6" t="s">
        <v>44</v>
      </c>
      <c r="C13" s="10">
        <v>25000</v>
      </c>
      <c r="D13" s="8" t="s">
        <v>36</v>
      </c>
      <c r="E13" s="8" t="s">
        <v>53</v>
      </c>
      <c r="F13" s="2"/>
      <c r="G13" s="2"/>
      <c r="H13" s="2"/>
      <c r="I13" s="2"/>
      <c r="J13" s="2"/>
      <c r="K13" s="2"/>
      <c r="L13" s="2"/>
      <c r="M13" s="2"/>
      <c r="N13" s="2"/>
      <c r="O13" s="2"/>
      <c r="P13" s="2"/>
      <c r="Q13" s="2"/>
      <c r="R13" s="2"/>
      <c r="S13" s="2"/>
      <c r="T13" s="2"/>
      <c r="U13" s="2"/>
      <c r="V13" s="2"/>
      <c r="W13" s="2"/>
      <c r="X13" s="2"/>
      <c r="Y13" s="2"/>
      <c r="Z13" s="2"/>
      <c r="AA13" s="2"/>
    </row>
    <row r="14" spans="1:27">
      <c r="A14" s="6" t="s">
        <v>54</v>
      </c>
      <c r="B14" s="6" t="s">
        <v>55</v>
      </c>
      <c r="C14" s="10">
        <v>500</v>
      </c>
      <c r="D14" s="8" t="s">
        <v>36</v>
      </c>
      <c r="E14" s="8" t="s">
        <v>56</v>
      </c>
      <c r="F14" s="2"/>
      <c r="G14" s="2"/>
      <c r="H14" s="2"/>
      <c r="I14" s="2"/>
      <c r="J14" s="2"/>
      <c r="K14" s="2"/>
      <c r="L14" s="2"/>
      <c r="M14" s="2"/>
      <c r="N14" s="2"/>
      <c r="O14" s="2"/>
      <c r="P14" s="2"/>
      <c r="Q14" s="2"/>
      <c r="R14" s="2"/>
      <c r="S14" s="2"/>
      <c r="T14" s="2"/>
      <c r="U14" s="2"/>
      <c r="V14" s="2"/>
      <c r="W14" s="2"/>
      <c r="X14" s="2"/>
      <c r="Y14" s="2"/>
      <c r="Z14" s="2"/>
      <c r="AA14" s="2"/>
    </row>
    <row r="15" spans="1:27">
      <c r="A15" s="6" t="s">
        <v>57</v>
      </c>
      <c r="B15" s="6" t="s">
        <v>34</v>
      </c>
      <c r="C15" s="10" t="str">
        <f>IF(ROUND(C13/C12,0)=ROUND(C14,0),"OK","CHECK")</f>
        <v>OK</v>
      </c>
      <c r="D15" s="8" t="s">
        <v>58</v>
      </c>
      <c r="E15" s="8" t="s">
        <v>59</v>
      </c>
      <c r="F15" s="2"/>
      <c r="G15" s="2"/>
      <c r="H15" s="2"/>
      <c r="I15" s="2"/>
      <c r="J15" s="2"/>
      <c r="K15" s="2"/>
      <c r="L15" s="2"/>
      <c r="M15" s="2"/>
      <c r="N15" s="2"/>
      <c r="O15" s="2"/>
      <c r="P15" s="2"/>
      <c r="Q15" s="2"/>
      <c r="R15" s="2"/>
      <c r="S15" s="2"/>
      <c r="T15" s="2"/>
      <c r="U15" s="2"/>
      <c r="V15" s="2"/>
      <c r="W15" s="2"/>
      <c r="X15" s="2"/>
      <c r="Y15" s="2"/>
      <c r="Z15" s="2"/>
      <c r="AA15" s="2"/>
    </row>
    <row r="16" spans="1:27">
      <c r="A16" s="6" t="s">
        <v>60</v>
      </c>
      <c r="B16" s="6" t="s">
        <v>50</v>
      </c>
      <c r="C16" s="10">
        <v>8</v>
      </c>
      <c r="D16" s="8" t="s">
        <v>36</v>
      </c>
      <c r="E16" s="8" t="s">
        <v>61</v>
      </c>
      <c r="F16" s="2"/>
      <c r="G16" s="2"/>
      <c r="H16" s="2"/>
      <c r="I16" s="2"/>
      <c r="J16" s="2"/>
      <c r="K16" s="2"/>
      <c r="L16" s="2"/>
      <c r="M16" s="2"/>
      <c r="N16" s="2"/>
      <c r="O16" s="2"/>
      <c r="P16" s="2"/>
      <c r="Q16" s="2"/>
      <c r="R16" s="2"/>
      <c r="S16" s="2"/>
      <c r="T16" s="2"/>
      <c r="U16" s="2"/>
      <c r="V16" s="2"/>
      <c r="W16" s="2"/>
      <c r="X16" s="2"/>
      <c r="Y16" s="2"/>
      <c r="Z16" s="2"/>
      <c r="AA16" s="2"/>
    </row>
    <row r="17" spans="1:27">
      <c r="A17" s="6" t="s">
        <v>62</v>
      </c>
      <c r="B17" s="6" t="s">
        <v>63</v>
      </c>
      <c r="C17" s="13">
        <v>0.05</v>
      </c>
      <c r="D17" s="8" t="s">
        <v>36</v>
      </c>
      <c r="E17" s="8" t="s">
        <v>64</v>
      </c>
      <c r="F17" s="2"/>
      <c r="G17" s="2"/>
      <c r="H17" s="2"/>
      <c r="I17" s="2"/>
      <c r="J17" s="2"/>
      <c r="K17" s="2"/>
      <c r="L17" s="2"/>
      <c r="M17" s="2"/>
      <c r="N17" s="2"/>
      <c r="O17" s="2"/>
      <c r="P17" s="2"/>
      <c r="Q17" s="2"/>
      <c r="R17" s="2"/>
      <c r="S17" s="2"/>
      <c r="T17" s="2"/>
      <c r="U17" s="2"/>
      <c r="V17" s="2"/>
      <c r="W17" s="2"/>
      <c r="X17" s="2"/>
      <c r="Y17" s="2"/>
      <c r="Z17" s="2"/>
      <c r="AA17" s="2"/>
    </row>
    <row r="18" spans="1:27">
      <c r="A18" s="6" t="s">
        <v>65</v>
      </c>
      <c r="B18" s="6" t="s">
        <v>66</v>
      </c>
      <c r="C18" s="13">
        <v>0.03</v>
      </c>
      <c r="D18" s="8" t="s">
        <v>36</v>
      </c>
      <c r="E18" s="8" t="s">
        <v>67</v>
      </c>
      <c r="F18" s="2"/>
      <c r="G18" s="2"/>
      <c r="H18" s="2"/>
      <c r="I18" s="2"/>
      <c r="J18" s="2"/>
      <c r="K18" s="2"/>
      <c r="L18" s="2"/>
      <c r="M18" s="2"/>
      <c r="N18" s="2"/>
      <c r="O18" s="2"/>
      <c r="P18" s="2"/>
      <c r="Q18" s="2"/>
      <c r="R18" s="2"/>
      <c r="S18" s="2"/>
      <c r="T18" s="2"/>
      <c r="U18" s="2"/>
      <c r="V18" s="2"/>
      <c r="W18" s="2"/>
      <c r="X18" s="2"/>
      <c r="Y18" s="2"/>
      <c r="Z18" s="2"/>
      <c r="AA18" s="2"/>
    </row>
    <row r="19" spans="1:27">
      <c r="A19" s="6" t="s">
        <v>68</v>
      </c>
      <c r="B19" s="6" t="s">
        <v>63</v>
      </c>
      <c r="C19" s="10">
        <v>5.0000000000000001E-3</v>
      </c>
      <c r="D19" s="8" t="s">
        <v>316</v>
      </c>
      <c r="E19" s="8" t="s">
        <v>69</v>
      </c>
      <c r="F19" s="2"/>
      <c r="G19" s="2"/>
      <c r="H19" s="2"/>
      <c r="I19" s="2"/>
      <c r="J19" s="2"/>
      <c r="K19" s="2"/>
      <c r="L19" s="2"/>
      <c r="M19" s="2"/>
      <c r="N19" s="2"/>
      <c r="O19" s="2"/>
      <c r="P19" s="2"/>
      <c r="Q19" s="2"/>
      <c r="R19" s="2"/>
      <c r="S19" s="2"/>
      <c r="T19" s="2"/>
      <c r="U19" s="2"/>
      <c r="V19" s="2"/>
      <c r="W19" s="2"/>
      <c r="X19" s="2"/>
      <c r="Y19" s="2"/>
      <c r="Z19" s="2"/>
      <c r="AA19" s="2"/>
    </row>
    <row r="20" spans="1:27">
      <c r="A20" s="6" t="s">
        <v>70</v>
      </c>
      <c r="B20" s="6" t="s">
        <v>71</v>
      </c>
      <c r="C20" s="10">
        <v>0</v>
      </c>
      <c r="D20" s="8" t="s">
        <v>316</v>
      </c>
      <c r="E20" s="8" t="s">
        <v>72</v>
      </c>
      <c r="F20" s="2"/>
      <c r="G20" s="2"/>
      <c r="H20" s="2"/>
      <c r="I20" s="2"/>
      <c r="J20" s="2"/>
      <c r="K20" s="2"/>
      <c r="L20" s="2"/>
      <c r="M20" s="2"/>
      <c r="N20" s="2"/>
      <c r="O20" s="2"/>
      <c r="P20" s="2"/>
      <c r="Q20" s="2"/>
      <c r="R20" s="2"/>
      <c r="S20" s="2"/>
      <c r="T20" s="2"/>
      <c r="U20" s="2"/>
      <c r="V20" s="2"/>
      <c r="W20" s="2"/>
      <c r="X20" s="2"/>
      <c r="Y20" s="2"/>
      <c r="Z20" s="2"/>
      <c r="AA20" s="2"/>
    </row>
    <row r="21" spans="1:27">
      <c r="A21" s="8"/>
      <c r="B21" s="8"/>
      <c r="C21" s="11"/>
      <c r="D21" s="8"/>
      <c r="E21" s="8"/>
      <c r="F21" s="2"/>
      <c r="G21" s="2"/>
      <c r="H21" s="2"/>
      <c r="I21" s="2"/>
      <c r="J21" s="2"/>
      <c r="K21" s="2"/>
      <c r="L21" s="2"/>
      <c r="M21" s="2"/>
      <c r="N21" s="2"/>
      <c r="O21" s="2"/>
      <c r="P21" s="2"/>
      <c r="Q21" s="2"/>
      <c r="R21" s="2"/>
      <c r="S21" s="2"/>
      <c r="T21" s="2"/>
      <c r="U21" s="2"/>
      <c r="V21" s="2"/>
      <c r="W21" s="2"/>
      <c r="X21" s="2"/>
      <c r="Y21" s="2"/>
      <c r="Z21" s="2"/>
      <c r="AA21" s="2"/>
    </row>
    <row r="22" spans="1:27">
      <c r="A22" s="5" t="s">
        <v>73</v>
      </c>
      <c r="B22" s="5"/>
      <c r="C22" s="14"/>
      <c r="D22" s="5"/>
      <c r="E22" s="5"/>
      <c r="F22" s="2"/>
      <c r="G22" s="2"/>
      <c r="H22" s="2"/>
      <c r="I22" s="2"/>
      <c r="J22" s="2"/>
      <c r="K22" s="2"/>
      <c r="L22" s="2"/>
      <c r="M22" s="2"/>
      <c r="N22" s="2"/>
      <c r="O22" s="2"/>
      <c r="P22" s="2"/>
      <c r="Q22" s="2"/>
      <c r="R22" s="2"/>
      <c r="S22" s="2"/>
      <c r="T22" s="2"/>
      <c r="U22" s="2"/>
      <c r="V22" s="2"/>
      <c r="W22" s="2"/>
      <c r="X22" s="2"/>
      <c r="Y22" s="2"/>
      <c r="Z22" s="2"/>
      <c r="AA22" s="2"/>
    </row>
    <row r="23" spans="1:27">
      <c r="A23" s="6" t="s">
        <v>74</v>
      </c>
      <c r="B23" s="6" t="s">
        <v>66</v>
      </c>
      <c r="C23" s="13">
        <v>0.78</v>
      </c>
      <c r="D23" s="8" t="s">
        <v>36</v>
      </c>
      <c r="E23" s="8" t="s">
        <v>75</v>
      </c>
      <c r="F23" s="2"/>
      <c r="G23" s="2"/>
      <c r="H23" s="2"/>
      <c r="I23" s="2"/>
      <c r="J23" s="2"/>
      <c r="K23" s="2"/>
      <c r="L23" s="2"/>
      <c r="M23" s="2"/>
      <c r="N23" s="2"/>
      <c r="O23" s="2"/>
      <c r="P23" s="2"/>
      <c r="Q23" s="2"/>
      <c r="R23" s="2"/>
      <c r="S23" s="2"/>
      <c r="T23" s="2"/>
      <c r="U23" s="2"/>
      <c r="V23" s="2"/>
      <c r="W23" s="2"/>
      <c r="X23" s="2"/>
      <c r="Y23" s="2"/>
      <c r="Z23" s="2"/>
      <c r="AA23" s="2"/>
    </row>
    <row r="24" spans="1:27">
      <c r="A24" s="6" t="s">
        <v>76</v>
      </c>
      <c r="B24" s="6" t="s">
        <v>77</v>
      </c>
      <c r="C24" s="13">
        <v>0.08</v>
      </c>
      <c r="D24" s="8" t="s">
        <v>316</v>
      </c>
      <c r="E24" s="8" t="s">
        <v>78</v>
      </c>
      <c r="F24" s="2"/>
      <c r="G24" s="2"/>
      <c r="H24" s="2"/>
      <c r="I24" s="2"/>
      <c r="J24" s="2"/>
      <c r="K24" s="2"/>
      <c r="L24" s="2"/>
      <c r="M24" s="2"/>
      <c r="N24" s="2"/>
      <c r="O24" s="2"/>
      <c r="P24" s="2"/>
      <c r="Q24" s="2"/>
      <c r="R24" s="2"/>
      <c r="S24" s="2"/>
      <c r="T24" s="2"/>
      <c r="U24" s="2"/>
      <c r="V24" s="2"/>
      <c r="W24" s="2"/>
      <c r="X24" s="2"/>
      <c r="Y24" s="2"/>
      <c r="Z24" s="2"/>
      <c r="AA24" s="2"/>
    </row>
    <row r="25" spans="1:27">
      <c r="A25" s="6" t="s">
        <v>79</v>
      </c>
      <c r="B25" s="6" t="s">
        <v>77</v>
      </c>
      <c r="C25" s="10">
        <v>0.03</v>
      </c>
      <c r="D25" s="8" t="s">
        <v>316</v>
      </c>
      <c r="E25" s="8" t="s">
        <v>78</v>
      </c>
      <c r="F25" s="2"/>
      <c r="G25" s="2"/>
      <c r="H25" s="2"/>
      <c r="I25" s="2"/>
      <c r="J25" s="2"/>
      <c r="K25" s="2"/>
      <c r="L25" s="2"/>
      <c r="M25" s="2"/>
      <c r="N25" s="2"/>
      <c r="O25" s="2"/>
      <c r="P25" s="2"/>
      <c r="Q25" s="2"/>
      <c r="R25" s="2"/>
      <c r="S25" s="2"/>
      <c r="T25" s="2"/>
      <c r="U25" s="2"/>
      <c r="V25" s="2"/>
      <c r="W25" s="2"/>
      <c r="X25" s="2"/>
      <c r="Y25" s="2"/>
      <c r="Z25" s="2"/>
      <c r="AA25" s="2"/>
    </row>
    <row r="26" spans="1:27">
      <c r="A26" s="6" t="s">
        <v>80</v>
      </c>
      <c r="B26" s="6" t="s">
        <v>77</v>
      </c>
      <c r="C26" s="10">
        <v>1.4999999999999999E-2</v>
      </c>
      <c r="D26" s="8" t="s">
        <v>316</v>
      </c>
      <c r="E26" s="8" t="s">
        <v>78</v>
      </c>
      <c r="F26" s="2"/>
      <c r="G26" s="2"/>
      <c r="H26" s="2"/>
      <c r="I26" s="2"/>
      <c r="J26" s="2"/>
      <c r="K26" s="2"/>
      <c r="L26" s="2"/>
      <c r="M26" s="2"/>
      <c r="N26" s="2"/>
      <c r="O26" s="2"/>
      <c r="P26" s="2"/>
      <c r="Q26" s="2"/>
      <c r="R26" s="2"/>
      <c r="S26" s="2"/>
      <c r="T26" s="2"/>
      <c r="U26" s="2"/>
      <c r="V26" s="2"/>
      <c r="W26" s="2"/>
      <c r="X26" s="2"/>
      <c r="Y26" s="2"/>
      <c r="Z26" s="2"/>
      <c r="AA26" s="2"/>
    </row>
    <row r="27" spans="1:27" ht="27.6">
      <c r="A27" s="6" t="s">
        <v>81</v>
      </c>
      <c r="B27" s="6" t="s">
        <v>82</v>
      </c>
      <c r="C27" s="10" t="s">
        <v>83</v>
      </c>
      <c r="D27" s="8" t="s">
        <v>84</v>
      </c>
      <c r="E27" s="8" t="s">
        <v>85</v>
      </c>
      <c r="F27" s="2"/>
      <c r="G27" s="2"/>
      <c r="H27" s="2"/>
      <c r="I27" s="2"/>
      <c r="J27" s="2"/>
      <c r="K27" s="2"/>
      <c r="L27" s="2"/>
      <c r="M27" s="2"/>
      <c r="N27" s="2"/>
      <c r="O27" s="2"/>
      <c r="P27" s="2"/>
      <c r="Q27" s="2"/>
      <c r="R27" s="2"/>
      <c r="S27" s="2"/>
      <c r="T27" s="2"/>
      <c r="U27" s="2"/>
      <c r="V27" s="2"/>
      <c r="W27" s="2"/>
      <c r="X27" s="2"/>
      <c r="Y27" s="2"/>
      <c r="Z27" s="2"/>
      <c r="AA27" s="2"/>
    </row>
    <row r="28" spans="1:27">
      <c r="A28" s="8"/>
      <c r="B28" s="8"/>
      <c r="C28" s="11"/>
      <c r="D28" s="8"/>
      <c r="E28" s="8"/>
      <c r="F28" s="2"/>
      <c r="G28" s="2"/>
      <c r="H28" s="2"/>
      <c r="I28" s="2"/>
      <c r="J28" s="2"/>
      <c r="K28" s="2"/>
      <c r="L28" s="2"/>
      <c r="M28" s="2"/>
      <c r="N28" s="2"/>
      <c r="O28" s="2"/>
      <c r="P28" s="2"/>
      <c r="Q28" s="2"/>
      <c r="R28" s="2"/>
      <c r="S28" s="2"/>
      <c r="T28" s="2"/>
      <c r="U28" s="2"/>
      <c r="V28" s="2"/>
      <c r="W28" s="2"/>
      <c r="X28" s="2"/>
      <c r="Y28" s="2"/>
      <c r="Z28" s="2"/>
      <c r="AA28" s="2"/>
    </row>
    <row r="29" spans="1:27">
      <c r="A29" s="5" t="s">
        <v>86</v>
      </c>
      <c r="B29" s="5"/>
      <c r="C29" s="14"/>
      <c r="D29" s="5"/>
      <c r="E29" s="5"/>
      <c r="F29" s="2"/>
      <c r="G29" s="2"/>
      <c r="H29" s="2"/>
      <c r="I29" s="2"/>
      <c r="J29" s="2"/>
      <c r="K29" s="2"/>
      <c r="L29" s="2"/>
      <c r="M29" s="2"/>
      <c r="N29" s="2"/>
      <c r="O29" s="2"/>
      <c r="P29" s="2"/>
      <c r="Q29" s="2"/>
      <c r="R29" s="2"/>
      <c r="S29" s="2"/>
      <c r="T29" s="2"/>
      <c r="U29" s="2"/>
      <c r="V29" s="2"/>
      <c r="W29" s="2"/>
      <c r="X29" s="2"/>
      <c r="Y29" s="2"/>
      <c r="Z29" s="2"/>
      <c r="AA29" s="2"/>
    </row>
    <row r="30" spans="1:27">
      <c r="A30" s="6" t="s">
        <v>87</v>
      </c>
      <c r="B30" s="6" t="s">
        <v>88</v>
      </c>
      <c r="C30" s="13">
        <v>0.15</v>
      </c>
      <c r="D30" s="8" t="s">
        <v>316</v>
      </c>
      <c r="E30" s="8" t="s">
        <v>89</v>
      </c>
      <c r="F30" s="2"/>
      <c r="G30" s="2"/>
      <c r="H30" s="2"/>
      <c r="I30" s="2"/>
      <c r="J30" s="2"/>
      <c r="K30" s="2"/>
      <c r="L30" s="2"/>
      <c r="M30" s="2"/>
      <c r="N30" s="2"/>
      <c r="O30" s="2"/>
      <c r="P30" s="2"/>
      <c r="Q30" s="2"/>
      <c r="R30" s="2"/>
      <c r="S30" s="2"/>
      <c r="T30" s="2"/>
      <c r="U30" s="2"/>
      <c r="V30" s="2"/>
      <c r="W30" s="2"/>
      <c r="X30" s="2"/>
      <c r="Y30" s="2"/>
      <c r="Z30" s="2"/>
      <c r="AA30" s="2"/>
    </row>
    <row r="31" spans="1:27">
      <c r="A31" s="6" t="s">
        <v>90</v>
      </c>
      <c r="B31" s="6" t="s">
        <v>66</v>
      </c>
      <c r="C31" s="10">
        <v>0.03</v>
      </c>
      <c r="D31" s="8" t="s">
        <v>316</v>
      </c>
      <c r="E31" s="8" t="s">
        <v>91</v>
      </c>
      <c r="F31" s="2"/>
      <c r="G31" s="2"/>
      <c r="H31" s="2"/>
      <c r="I31" s="2"/>
      <c r="J31" s="2"/>
      <c r="K31" s="2"/>
      <c r="L31" s="2"/>
      <c r="M31" s="2"/>
      <c r="N31" s="2"/>
      <c r="O31" s="2"/>
      <c r="P31" s="2"/>
      <c r="Q31" s="2"/>
      <c r="R31" s="2"/>
      <c r="S31" s="2"/>
      <c r="T31" s="2"/>
      <c r="U31" s="2"/>
      <c r="V31" s="2"/>
      <c r="W31" s="2"/>
      <c r="X31" s="2"/>
      <c r="Y31" s="2"/>
      <c r="Z31" s="2"/>
      <c r="AA31" s="2"/>
    </row>
    <row r="32" spans="1:27">
      <c r="A32" s="8"/>
      <c r="B32" s="8"/>
      <c r="C32" s="11"/>
      <c r="D32" s="8"/>
      <c r="E32" s="8"/>
      <c r="F32" s="2"/>
      <c r="G32" s="2"/>
      <c r="H32" s="2"/>
      <c r="I32" s="2"/>
      <c r="J32" s="2"/>
      <c r="K32" s="2"/>
      <c r="L32" s="2"/>
      <c r="M32" s="2"/>
      <c r="N32" s="2"/>
      <c r="O32" s="2"/>
      <c r="P32" s="2"/>
      <c r="Q32" s="2"/>
      <c r="R32" s="2"/>
      <c r="S32" s="2"/>
      <c r="T32" s="2"/>
      <c r="U32" s="2"/>
      <c r="V32" s="2"/>
      <c r="W32" s="2"/>
      <c r="X32" s="2"/>
      <c r="Y32" s="2"/>
      <c r="Z32" s="2"/>
      <c r="AA32" s="2"/>
    </row>
    <row r="33" spans="1:27">
      <c r="A33" s="5" t="s">
        <v>92</v>
      </c>
      <c r="B33" s="5"/>
      <c r="C33" s="12"/>
      <c r="D33" s="5"/>
      <c r="E33" s="5"/>
      <c r="F33" s="2"/>
      <c r="G33" s="2"/>
      <c r="H33" s="2"/>
      <c r="I33" s="2"/>
      <c r="J33" s="2"/>
      <c r="K33" s="2"/>
      <c r="L33" s="2"/>
      <c r="M33" s="2"/>
      <c r="N33" s="2"/>
      <c r="O33" s="2"/>
      <c r="P33" s="2"/>
      <c r="Q33" s="2"/>
      <c r="R33" s="2"/>
      <c r="S33" s="2"/>
      <c r="T33" s="2"/>
      <c r="U33" s="2"/>
      <c r="V33" s="2"/>
      <c r="W33" s="2"/>
      <c r="X33" s="2"/>
      <c r="Y33" s="2"/>
      <c r="Z33" s="2"/>
      <c r="AA33" s="2"/>
    </row>
    <row r="34" spans="1:27">
      <c r="A34" s="6" t="s">
        <v>93</v>
      </c>
      <c r="B34" s="6" t="s">
        <v>94</v>
      </c>
      <c r="C34" s="10">
        <v>5000</v>
      </c>
      <c r="D34" s="8" t="s">
        <v>316</v>
      </c>
      <c r="E34" s="8" t="s">
        <v>95</v>
      </c>
      <c r="F34" s="2"/>
      <c r="G34" s="2"/>
      <c r="H34" s="2"/>
      <c r="I34" s="2"/>
      <c r="J34" s="2"/>
      <c r="K34" s="2"/>
      <c r="L34" s="2"/>
      <c r="M34" s="2"/>
      <c r="N34" s="2"/>
      <c r="O34" s="2"/>
      <c r="P34" s="2"/>
      <c r="Q34" s="2"/>
      <c r="R34" s="2"/>
      <c r="S34" s="2"/>
      <c r="T34" s="2"/>
      <c r="U34" s="2"/>
      <c r="V34" s="2"/>
      <c r="W34" s="2"/>
      <c r="X34" s="2"/>
      <c r="Y34" s="2"/>
      <c r="Z34" s="2"/>
      <c r="AA34" s="2"/>
    </row>
    <row r="35" spans="1:27">
      <c r="A35" s="6" t="s">
        <v>96</v>
      </c>
      <c r="B35" s="6" t="s">
        <v>97</v>
      </c>
      <c r="C35" s="10">
        <v>1200</v>
      </c>
      <c r="D35" s="8" t="s">
        <v>316</v>
      </c>
      <c r="E35" s="8" t="s">
        <v>98</v>
      </c>
      <c r="F35" s="2"/>
      <c r="G35" s="2"/>
      <c r="H35" s="2"/>
      <c r="I35" s="2"/>
      <c r="J35" s="2"/>
      <c r="K35" s="2"/>
      <c r="L35" s="2"/>
      <c r="M35" s="2"/>
      <c r="N35" s="2"/>
      <c r="O35" s="2"/>
      <c r="P35" s="2"/>
      <c r="Q35" s="2"/>
      <c r="R35" s="2"/>
      <c r="S35" s="2"/>
      <c r="T35" s="2"/>
      <c r="U35" s="2"/>
      <c r="V35" s="2"/>
      <c r="W35" s="2"/>
      <c r="X35" s="2"/>
      <c r="Y35" s="2"/>
      <c r="Z35" s="2"/>
      <c r="AA35" s="2"/>
    </row>
    <row r="36" spans="1:27">
      <c r="A36" s="6" t="s">
        <v>99</v>
      </c>
      <c r="B36" s="6" t="s">
        <v>94</v>
      </c>
      <c r="C36" s="10">
        <v>4000</v>
      </c>
      <c r="D36" s="8" t="s">
        <v>316</v>
      </c>
      <c r="E36" s="8" t="s">
        <v>100</v>
      </c>
      <c r="F36" s="2"/>
      <c r="G36" s="2"/>
      <c r="H36" s="2"/>
      <c r="I36" s="2"/>
      <c r="J36" s="2"/>
      <c r="K36" s="2"/>
      <c r="L36" s="2"/>
      <c r="M36" s="2"/>
      <c r="N36" s="2"/>
      <c r="O36" s="2"/>
      <c r="P36" s="2"/>
      <c r="Q36" s="2"/>
      <c r="R36" s="2"/>
      <c r="S36" s="2"/>
      <c r="T36" s="2"/>
      <c r="U36" s="2"/>
      <c r="V36" s="2"/>
      <c r="W36" s="2"/>
      <c r="X36" s="2"/>
      <c r="Y36" s="2"/>
      <c r="Z36" s="2"/>
      <c r="AA36" s="2"/>
    </row>
    <row r="37" spans="1:27">
      <c r="A37" s="6" t="s">
        <v>101</v>
      </c>
      <c r="B37" s="6" t="s">
        <v>94</v>
      </c>
      <c r="C37" s="13">
        <v>6000</v>
      </c>
      <c r="D37" s="8" t="s">
        <v>316</v>
      </c>
      <c r="E37" s="8" t="s">
        <v>102</v>
      </c>
      <c r="F37" s="2"/>
      <c r="G37" s="2"/>
      <c r="H37" s="2"/>
      <c r="I37" s="2"/>
      <c r="J37" s="2"/>
      <c r="K37" s="2"/>
      <c r="L37" s="2"/>
      <c r="M37" s="2"/>
      <c r="N37" s="2"/>
      <c r="O37" s="2"/>
      <c r="P37" s="2"/>
      <c r="Q37" s="2"/>
      <c r="R37" s="2"/>
      <c r="S37" s="2"/>
      <c r="T37" s="2"/>
      <c r="U37" s="2"/>
      <c r="V37" s="2"/>
      <c r="W37" s="2"/>
      <c r="X37" s="2"/>
      <c r="Y37" s="2"/>
      <c r="Z37" s="2"/>
      <c r="AA37" s="2"/>
    </row>
    <row r="38" spans="1:27">
      <c r="A38" s="6" t="s">
        <v>103</v>
      </c>
      <c r="B38" s="6" t="s">
        <v>63</v>
      </c>
      <c r="C38" s="10">
        <v>0.01</v>
      </c>
      <c r="D38" s="8" t="s">
        <v>316</v>
      </c>
      <c r="E38" s="8" t="s">
        <v>104</v>
      </c>
      <c r="F38" s="2"/>
      <c r="G38" s="2"/>
      <c r="H38" s="2"/>
      <c r="I38" s="2"/>
      <c r="J38" s="2"/>
      <c r="K38" s="2"/>
      <c r="L38" s="2"/>
      <c r="M38" s="2"/>
      <c r="N38" s="2"/>
      <c r="O38" s="2"/>
      <c r="P38" s="2"/>
      <c r="Q38" s="2"/>
      <c r="R38" s="2"/>
      <c r="S38" s="2"/>
      <c r="T38" s="2"/>
      <c r="U38" s="2"/>
      <c r="V38" s="2"/>
      <c r="W38" s="2"/>
      <c r="X38" s="2"/>
      <c r="Y38" s="2"/>
      <c r="Z38" s="2"/>
      <c r="AA38" s="2"/>
    </row>
    <row r="39" spans="1:27">
      <c r="A39" s="6" t="s">
        <v>105</v>
      </c>
      <c r="B39" s="6" t="s">
        <v>106</v>
      </c>
      <c r="C39" s="10">
        <v>12</v>
      </c>
      <c r="D39" s="8" t="s">
        <v>316</v>
      </c>
      <c r="E39" s="8" t="s">
        <v>107</v>
      </c>
      <c r="F39" s="2"/>
      <c r="G39" s="2"/>
      <c r="H39" s="2"/>
      <c r="I39" s="2"/>
      <c r="J39" s="2"/>
      <c r="K39" s="2"/>
      <c r="L39" s="2"/>
      <c r="M39" s="2"/>
      <c r="N39" s="2"/>
      <c r="O39" s="2"/>
      <c r="P39" s="2"/>
      <c r="Q39" s="2"/>
      <c r="R39" s="2"/>
      <c r="S39" s="2"/>
      <c r="T39" s="2"/>
      <c r="U39" s="2"/>
      <c r="V39" s="2"/>
      <c r="W39" s="2"/>
      <c r="X39" s="2"/>
      <c r="Y39" s="2"/>
      <c r="Z39" s="2"/>
      <c r="AA39" s="2"/>
    </row>
    <row r="40" spans="1:27">
      <c r="A40" s="6" t="s">
        <v>108</v>
      </c>
      <c r="B40" s="6" t="s">
        <v>44</v>
      </c>
      <c r="C40" s="10">
        <v>15000</v>
      </c>
      <c r="D40" s="8" t="s">
        <v>316</v>
      </c>
      <c r="E40" s="8" t="s">
        <v>109</v>
      </c>
      <c r="F40" s="2"/>
      <c r="G40" s="2"/>
      <c r="H40" s="2"/>
      <c r="I40" s="2"/>
      <c r="J40" s="2"/>
      <c r="K40" s="2"/>
      <c r="L40" s="2"/>
      <c r="M40" s="2"/>
      <c r="N40" s="2"/>
      <c r="O40" s="2"/>
      <c r="P40" s="2"/>
      <c r="Q40" s="2"/>
      <c r="R40" s="2"/>
      <c r="S40" s="2"/>
      <c r="T40" s="2"/>
      <c r="U40" s="2"/>
      <c r="V40" s="2"/>
      <c r="W40" s="2"/>
      <c r="X40" s="2"/>
      <c r="Y40" s="2"/>
      <c r="Z40" s="2"/>
      <c r="AA40" s="2"/>
    </row>
    <row r="41" spans="1:27">
      <c r="A41" s="8"/>
      <c r="B41" s="8"/>
      <c r="C41" s="11"/>
      <c r="D41" s="8"/>
      <c r="E41" s="8"/>
      <c r="F41" s="2"/>
      <c r="G41" s="2"/>
      <c r="H41" s="2"/>
      <c r="I41" s="2"/>
      <c r="J41" s="2"/>
      <c r="K41" s="2"/>
      <c r="L41" s="2"/>
      <c r="M41" s="2"/>
      <c r="N41" s="2"/>
      <c r="O41" s="2"/>
      <c r="P41" s="2"/>
      <c r="Q41" s="2"/>
      <c r="R41" s="2"/>
      <c r="S41" s="2"/>
      <c r="T41" s="2"/>
      <c r="U41" s="2"/>
      <c r="V41" s="2"/>
      <c r="W41" s="2"/>
      <c r="X41" s="2"/>
      <c r="Y41" s="2"/>
      <c r="Z41" s="2"/>
      <c r="AA41" s="2"/>
    </row>
    <row r="42" spans="1:27">
      <c r="A42" s="5" t="s">
        <v>110</v>
      </c>
      <c r="B42" s="5"/>
      <c r="C42" s="14"/>
      <c r="D42" s="5"/>
      <c r="E42" s="5"/>
      <c r="F42" s="2"/>
      <c r="G42" s="2"/>
      <c r="H42" s="2"/>
      <c r="I42" s="2"/>
      <c r="J42" s="2"/>
      <c r="K42" s="2"/>
      <c r="L42" s="2"/>
      <c r="M42" s="2"/>
      <c r="N42" s="2"/>
      <c r="O42" s="2"/>
      <c r="P42" s="2"/>
      <c r="Q42" s="2"/>
      <c r="R42" s="2"/>
      <c r="S42" s="2"/>
      <c r="T42" s="2"/>
      <c r="U42" s="2"/>
      <c r="V42" s="2"/>
      <c r="W42" s="2"/>
      <c r="X42" s="2"/>
      <c r="Y42" s="2"/>
      <c r="Z42" s="2"/>
      <c r="AA42" s="2"/>
    </row>
    <row r="43" spans="1:27">
      <c r="A43" s="6" t="s">
        <v>111</v>
      </c>
      <c r="B43" s="6" t="s">
        <v>77</v>
      </c>
      <c r="C43" s="10">
        <v>1</v>
      </c>
      <c r="D43" s="8" t="s">
        <v>316</v>
      </c>
      <c r="E43" s="8" t="s">
        <v>112</v>
      </c>
      <c r="F43" s="2"/>
      <c r="G43" s="2"/>
      <c r="H43" s="2"/>
      <c r="I43" s="2"/>
      <c r="J43" s="2"/>
      <c r="K43" s="2"/>
      <c r="L43" s="2"/>
      <c r="M43" s="2"/>
      <c r="N43" s="2"/>
      <c r="O43" s="2"/>
      <c r="P43" s="2"/>
      <c r="Q43" s="2"/>
      <c r="R43" s="2"/>
      <c r="S43" s="2"/>
      <c r="T43" s="2"/>
      <c r="U43" s="2"/>
      <c r="V43" s="2"/>
      <c r="W43" s="2"/>
      <c r="X43" s="2"/>
      <c r="Y43" s="2"/>
      <c r="Z43" s="2"/>
      <c r="AA43" s="2"/>
    </row>
    <row r="44" spans="1:27">
      <c r="A44" s="6" t="s">
        <v>113</v>
      </c>
      <c r="B44" s="6" t="s">
        <v>44</v>
      </c>
      <c r="C44" s="10">
        <v>0</v>
      </c>
      <c r="D44" s="8" t="s">
        <v>316</v>
      </c>
      <c r="E44" s="8" t="s">
        <v>114</v>
      </c>
      <c r="F44" s="2"/>
      <c r="G44" s="2"/>
      <c r="H44" s="2"/>
      <c r="I44" s="2"/>
      <c r="J44" s="2"/>
      <c r="K44" s="2"/>
      <c r="L44" s="2"/>
      <c r="M44" s="2"/>
      <c r="N44" s="2"/>
      <c r="O44" s="2"/>
      <c r="P44" s="2"/>
      <c r="Q44" s="2"/>
      <c r="R44" s="2"/>
      <c r="S44" s="2"/>
      <c r="T44" s="2"/>
      <c r="U44" s="2"/>
      <c r="V44" s="2"/>
      <c r="W44" s="2"/>
      <c r="X44" s="2"/>
      <c r="Y44" s="2"/>
      <c r="Z44" s="2"/>
      <c r="AA44" s="2"/>
    </row>
    <row r="45" spans="1:27">
      <c r="A45" s="6" t="s">
        <v>115</v>
      </c>
      <c r="B45" s="6" t="s">
        <v>44</v>
      </c>
      <c r="C45" s="10">
        <v>0</v>
      </c>
      <c r="D45" s="8" t="s">
        <v>316</v>
      </c>
      <c r="E45" s="8" t="s">
        <v>116</v>
      </c>
      <c r="F45" s="2"/>
      <c r="G45" s="2"/>
      <c r="H45" s="2"/>
      <c r="I45" s="2"/>
      <c r="J45" s="2"/>
      <c r="K45" s="2"/>
      <c r="L45" s="2"/>
      <c r="M45" s="2"/>
      <c r="N45" s="2"/>
      <c r="O45" s="2"/>
      <c r="P45" s="2"/>
      <c r="Q45" s="2"/>
      <c r="R45" s="2"/>
      <c r="S45" s="2"/>
      <c r="T45" s="2"/>
      <c r="U45" s="2"/>
      <c r="V45" s="2"/>
      <c r="W45" s="2"/>
      <c r="X45" s="2"/>
      <c r="Y45" s="2"/>
      <c r="Z45" s="2"/>
      <c r="AA45" s="2"/>
    </row>
    <row r="46" spans="1:27">
      <c r="A46" s="6" t="s">
        <v>117</v>
      </c>
      <c r="B46" s="6" t="s">
        <v>106</v>
      </c>
      <c r="C46" s="7">
        <v>0</v>
      </c>
      <c r="D46" s="8" t="s">
        <v>316</v>
      </c>
      <c r="E46" s="8" t="s">
        <v>118</v>
      </c>
      <c r="F46" s="2"/>
      <c r="G46" s="2"/>
      <c r="H46" s="2"/>
      <c r="I46" s="2"/>
      <c r="J46" s="2"/>
      <c r="K46" s="2"/>
      <c r="L46" s="2"/>
      <c r="M46" s="2"/>
      <c r="N46" s="2"/>
      <c r="O46" s="2"/>
      <c r="P46" s="2"/>
      <c r="Q46" s="2"/>
      <c r="R46" s="2"/>
      <c r="S46" s="2"/>
      <c r="T46" s="2"/>
      <c r="U46" s="2"/>
      <c r="V46" s="2"/>
      <c r="W46" s="2"/>
      <c r="X46" s="2"/>
      <c r="Y46" s="2"/>
      <c r="Z46" s="2"/>
      <c r="AA46" s="2"/>
    </row>
    <row r="47" spans="1:2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c r="A80" s="2"/>
      <c r="B80" s="2"/>
      <c r="C80" s="2"/>
      <c r="D80" s="2"/>
      <c r="E80" s="2"/>
      <c r="F80" s="2"/>
      <c r="G80" s="2"/>
      <c r="H80" s="2"/>
      <c r="I80" s="2"/>
      <c r="J80" s="2"/>
      <c r="K80" s="2"/>
      <c r="L80" s="2"/>
      <c r="M80" s="2"/>
      <c r="N80" s="2"/>
      <c r="O80" s="2"/>
      <c r="P80" s="2"/>
      <c r="Q80" s="2"/>
      <c r="R80" s="2"/>
      <c r="S80" s="2"/>
      <c r="T80" s="2"/>
      <c r="U80" s="2"/>
      <c r="V80" s="2"/>
      <c r="W80" s="2"/>
      <c r="X80" s="2"/>
      <c r="Y80" s="2"/>
      <c r="Z80" s="2"/>
      <c r="AA80" s="2"/>
    </row>
  </sheetData>
  <mergeCells count="1">
    <mergeCell ref="A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80"/>
  <sheetViews>
    <sheetView showGridLines="0" workbookViewId="0">
      <selection sqref="A1:Y1"/>
    </sheetView>
  </sheetViews>
  <sheetFormatPr defaultRowHeight="13.8"/>
  <cols>
    <col min="1" max="1" width="34" customWidth="1"/>
    <col min="2" max="25" width="13" customWidth="1"/>
  </cols>
  <sheetData>
    <row r="1" spans="1:27">
      <c r="A1" s="55" t="s">
        <v>119</v>
      </c>
      <c r="B1" s="56"/>
      <c r="C1" s="56"/>
      <c r="D1" s="56"/>
      <c r="E1" s="56"/>
      <c r="F1" s="56"/>
      <c r="G1" s="56"/>
      <c r="H1" s="56"/>
      <c r="I1" s="56"/>
      <c r="J1" s="56"/>
      <c r="K1" s="56"/>
      <c r="L1" s="56"/>
      <c r="M1" s="56"/>
      <c r="N1" s="56"/>
      <c r="O1" s="56"/>
      <c r="P1" s="56"/>
      <c r="Q1" s="56"/>
      <c r="R1" s="56"/>
      <c r="S1" s="56"/>
      <c r="T1" s="56"/>
      <c r="U1" s="56"/>
      <c r="V1" s="56"/>
      <c r="W1" s="56"/>
      <c r="X1" s="56"/>
      <c r="Y1" s="56"/>
      <c r="Z1" s="2"/>
      <c r="AA1" s="2"/>
    </row>
    <row r="2" spans="1:27">
      <c r="A2" s="59" t="s">
        <v>120</v>
      </c>
      <c r="B2" s="56"/>
      <c r="C2" s="56"/>
      <c r="D2" s="56"/>
      <c r="E2" s="56"/>
      <c r="F2" s="56"/>
      <c r="G2" s="56"/>
      <c r="H2" s="56"/>
      <c r="I2" s="56"/>
      <c r="J2" s="56"/>
      <c r="K2" s="56"/>
      <c r="L2" s="56"/>
      <c r="M2" s="56"/>
      <c r="N2" s="56"/>
      <c r="O2" s="56"/>
      <c r="P2" s="56"/>
      <c r="Q2" s="56"/>
      <c r="R2" s="56"/>
      <c r="S2" s="56"/>
      <c r="T2" s="56"/>
      <c r="U2" s="56"/>
      <c r="V2" s="56"/>
      <c r="W2" s="56"/>
      <c r="X2" s="56"/>
      <c r="Y2" s="56"/>
      <c r="Z2" s="2"/>
      <c r="AA2" s="2"/>
    </row>
    <row r="3" spans="1:27">
      <c r="A3" s="2"/>
      <c r="B3" s="2"/>
      <c r="C3" s="2"/>
      <c r="D3" s="2"/>
      <c r="E3" s="2"/>
      <c r="F3" s="2"/>
      <c r="G3" s="2"/>
      <c r="H3" s="2"/>
      <c r="I3" s="2"/>
      <c r="J3" s="2"/>
      <c r="K3" s="2"/>
      <c r="L3" s="2"/>
      <c r="M3" s="2"/>
      <c r="N3" s="2"/>
      <c r="O3" s="2"/>
      <c r="P3" s="2"/>
      <c r="Q3" s="2"/>
      <c r="R3" s="2"/>
      <c r="S3" s="2"/>
      <c r="T3" s="2"/>
      <c r="U3" s="2"/>
      <c r="V3" s="2"/>
      <c r="W3" s="2"/>
      <c r="X3" s="2"/>
      <c r="Y3" s="2"/>
      <c r="Z3" s="2"/>
      <c r="AA3" s="2"/>
    </row>
    <row r="4" spans="1:27">
      <c r="A4" s="1" t="s">
        <v>121</v>
      </c>
      <c r="B4" s="1" t="s">
        <v>122</v>
      </c>
      <c r="C4" s="1" t="s">
        <v>123</v>
      </c>
      <c r="D4" s="1" t="s">
        <v>124</v>
      </c>
      <c r="E4" s="1" t="s">
        <v>125</v>
      </c>
      <c r="F4" s="1" t="s">
        <v>126</v>
      </c>
      <c r="G4" s="1" t="s">
        <v>127</v>
      </c>
      <c r="H4" s="1" t="s">
        <v>128</v>
      </c>
      <c r="I4" s="1" t="s">
        <v>129</v>
      </c>
      <c r="J4" s="1" t="s">
        <v>130</v>
      </c>
      <c r="K4" s="1" t="s">
        <v>131</v>
      </c>
      <c r="L4" s="1" t="s">
        <v>132</v>
      </c>
      <c r="M4" s="1" t="s">
        <v>133</v>
      </c>
      <c r="N4" s="1" t="s">
        <v>134</v>
      </c>
      <c r="O4" s="1" t="s">
        <v>135</v>
      </c>
      <c r="P4" s="1" t="s">
        <v>136</v>
      </c>
      <c r="Q4" s="1" t="s">
        <v>137</v>
      </c>
      <c r="R4" s="1" t="s">
        <v>138</v>
      </c>
      <c r="S4" s="1" t="s">
        <v>139</v>
      </c>
      <c r="T4" s="1" t="s">
        <v>140</v>
      </c>
      <c r="U4" s="1" t="s">
        <v>141</v>
      </c>
      <c r="V4" s="1" t="s">
        <v>142</v>
      </c>
      <c r="W4" s="1" t="s">
        <v>143</v>
      </c>
      <c r="X4" s="1" t="s">
        <v>144</v>
      </c>
      <c r="Y4" s="1" t="s">
        <v>145</v>
      </c>
      <c r="Z4" s="2"/>
      <c r="AA4" s="2"/>
    </row>
    <row r="5" spans="1:27">
      <c r="A5" s="5" t="s">
        <v>146</v>
      </c>
      <c r="B5" s="5"/>
      <c r="C5" s="5"/>
      <c r="D5" s="5"/>
      <c r="E5" s="5"/>
      <c r="F5" s="5"/>
      <c r="G5" s="5"/>
      <c r="H5" s="5"/>
      <c r="I5" s="5"/>
      <c r="J5" s="5"/>
      <c r="K5" s="5"/>
      <c r="L5" s="5"/>
      <c r="M5" s="5"/>
      <c r="N5" s="5"/>
      <c r="O5" s="5"/>
      <c r="P5" s="5"/>
      <c r="Q5" s="5"/>
      <c r="R5" s="5"/>
      <c r="S5" s="5"/>
      <c r="T5" s="5"/>
      <c r="U5" s="5"/>
      <c r="V5" s="5"/>
      <c r="W5" s="5"/>
      <c r="X5" s="5"/>
      <c r="Y5" s="5"/>
      <c r="Z5" s="2"/>
      <c r="AA5" s="2"/>
    </row>
    <row r="6" spans="1:27">
      <c r="A6" s="2" t="s">
        <v>147</v>
      </c>
      <c r="B6" s="15">
        <f>Assumptions!$C$12</f>
        <v>50</v>
      </c>
      <c r="C6" s="15">
        <f>'Revenue Model'!B9</f>
        <v>56.5</v>
      </c>
      <c r="D6" s="15">
        <f>'Revenue Model'!C9</f>
        <v>63.205000000000005</v>
      </c>
      <c r="E6" s="15">
        <f>'Revenue Model'!D9</f>
        <v>70.12885</v>
      </c>
      <c r="F6" s="15">
        <f>'Revenue Model'!E9</f>
        <v>77.285984499999998</v>
      </c>
      <c r="G6" s="15">
        <f>'Revenue Model'!F9</f>
        <v>84.691454965000005</v>
      </c>
      <c r="H6" s="15">
        <f>'Revenue Model'!G9</f>
        <v>92.360963816050017</v>
      </c>
      <c r="I6" s="15">
        <f>'Revenue Model'!H9</f>
        <v>100.31090002656852</v>
      </c>
      <c r="J6" s="15">
        <f>'Revenue Model'!I9</f>
        <v>108.55837640702147</v>
      </c>
      <c r="K6" s="15">
        <f>'Revenue Model'!J9</f>
        <v>117.12126866512334</v>
      </c>
      <c r="L6" s="15">
        <f>'Revenue Model'!K9</f>
        <v>126.01825633299777</v>
      </c>
      <c r="M6" s="15">
        <f>'Revenue Model'!L9</f>
        <v>135.26886565722737</v>
      </c>
      <c r="N6" s="15">
        <f>'Revenue Model'!M9</f>
        <v>144.89351455244108</v>
      </c>
      <c r="O6" s="15">
        <f>'Revenue Model'!N9</f>
        <v>154.91355972404489</v>
      </c>
      <c r="P6" s="15">
        <f>'Revenue Model'!O9</f>
        <v>165.35134607090944</v>
      </c>
      <c r="Q6" s="15">
        <f>'Revenue Model'!P9</f>
        <v>176.23025848429737</v>
      </c>
      <c r="R6" s="15">
        <f>'Revenue Model'!Q9</f>
        <v>187.57477616505938</v>
      </c>
      <c r="S6" s="15">
        <f>'Revenue Model'!R9</f>
        <v>199.4105295871631</v>
      </c>
      <c r="T6" s="15">
        <f>'Revenue Model'!S9</f>
        <v>211.76436024195647</v>
      </c>
      <c r="U6" s="15">
        <f>'Revenue Model'!T9</f>
        <v>224.66438330422645</v>
      </c>
      <c r="V6" s="15">
        <f>'Revenue Model'!U9</f>
        <v>238.14005336810479</v>
      </c>
      <c r="W6" s="15">
        <f>'Revenue Model'!V9</f>
        <v>252.22223340821702</v>
      </c>
      <c r="X6" s="15">
        <f>'Revenue Model'!W9</f>
        <v>266.94326712918365</v>
      </c>
      <c r="Y6" s="15">
        <f>'Revenue Model'!X9</f>
        <v>282.33705487468194</v>
      </c>
      <c r="Z6" s="2"/>
      <c r="AA6" s="2"/>
    </row>
    <row r="7" spans="1:27">
      <c r="A7" s="2" t="s">
        <v>148</v>
      </c>
      <c r="B7" s="15">
        <f>Assumptions!$C$16</f>
        <v>8</v>
      </c>
      <c r="C7" s="15">
        <f>'Revenue Model'!B7*(1+Assumptions!$C$17)</f>
        <v>8.4</v>
      </c>
      <c r="D7" s="15">
        <f>'Revenue Model'!C7*(1+Assumptions!$C$17)</f>
        <v>8.82</v>
      </c>
      <c r="E7" s="15">
        <f>'Revenue Model'!D7*(1+Assumptions!$C$17)</f>
        <v>9.261000000000001</v>
      </c>
      <c r="F7" s="15">
        <f>'Revenue Model'!E7*(1+Assumptions!$C$17)</f>
        <v>9.7240500000000019</v>
      </c>
      <c r="G7" s="15">
        <f>'Revenue Model'!F7*(1+Assumptions!$C$17)</f>
        <v>10.210252500000003</v>
      </c>
      <c r="H7" s="15">
        <f>'Revenue Model'!G7*(1+Assumptions!$C$17)</f>
        <v>10.720765125000003</v>
      </c>
      <c r="I7" s="15">
        <f>'Revenue Model'!H7*(1+Assumptions!$C$17)</f>
        <v>11.256803381250004</v>
      </c>
      <c r="J7" s="15">
        <f>'Revenue Model'!I7*(1+Assumptions!$C$17)</f>
        <v>11.819643550312504</v>
      </c>
      <c r="K7" s="15">
        <f>'Revenue Model'!J7*(1+Assumptions!$C$17)</f>
        <v>12.41062572782813</v>
      </c>
      <c r="L7" s="15">
        <f>'Revenue Model'!K7*(1+Assumptions!$C$17)</f>
        <v>13.031157014219536</v>
      </c>
      <c r="M7" s="15">
        <f>'Revenue Model'!L7*(1+Assumptions!$C$17)</f>
        <v>13.682714864930514</v>
      </c>
      <c r="N7" s="15">
        <f>'Revenue Model'!M7*(1+Assumptions!$C$17)</f>
        <v>14.366850608177041</v>
      </c>
      <c r="O7" s="15">
        <f>'Revenue Model'!N7*(1+Assumptions!$C$17)</f>
        <v>15.085193138585893</v>
      </c>
      <c r="P7" s="15">
        <f>'Revenue Model'!O7*(1+Assumptions!$C$17)</f>
        <v>15.839452795515189</v>
      </c>
      <c r="Q7" s="15">
        <f>'Revenue Model'!P7*(1+Assumptions!$C$17)</f>
        <v>16.63142543529095</v>
      </c>
      <c r="R7" s="15">
        <f>'Revenue Model'!Q7*(1+Assumptions!$C$17)</f>
        <v>17.462996707055499</v>
      </c>
      <c r="S7" s="15">
        <f>'Revenue Model'!R7*(1+Assumptions!$C$17)</f>
        <v>18.336146542408276</v>
      </c>
      <c r="T7" s="15">
        <f>'Revenue Model'!S7*(1+Assumptions!$C$17)</f>
        <v>19.252953869528689</v>
      </c>
      <c r="U7" s="15">
        <f>'Revenue Model'!T7*(1+Assumptions!$C$17)</f>
        <v>20.215601563005123</v>
      </c>
      <c r="V7" s="15">
        <f>'Revenue Model'!U7*(1+Assumptions!$C$17)</f>
        <v>21.226381641155381</v>
      </c>
      <c r="W7" s="15">
        <f>'Revenue Model'!V7*(1+Assumptions!$C$17)</f>
        <v>22.287700723213153</v>
      </c>
      <c r="X7" s="15">
        <f>'Revenue Model'!W7*(1+Assumptions!$C$17)</f>
        <v>23.402085759373811</v>
      </c>
      <c r="Y7" s="15">
        <f>'Revenue Model'!X7*(1+Assumptions!$C$17)</f>
        <v>24.572190047342502</v>
      </c>
      <c r="Z7" s="2"/>
      <c r="AA7" s="2"/>
    </row>
    <row r="8" spans="1:27">
      <c r="A8" s="2" t="s">
        <v>149</v>
      </c>
      <c r="B8" s="15">
        <f>B6*Assumptions!$C$18</f>
        <v>1.5</v>
      </c>
      <c r="C8" s="15">
        <f>C6*Assumptions!$C$18</f>
        <v>1.6949999999999998</v>
      </c>
      <c r="D8" s="15">
        <f>D6*Assumptions!$C$18</f>
        <v>1.89615</v>
      </c>
      <c r="E8" s="15">
        <f>E6*Assumptions!$C$18</f>
        <v>2.1038654999999999</v>
      </c>
      <c r="F8" s="15">
        <f>F6*Assumptions!$C$18</f>
        <v>2.318579535</v>
      </c>
      <c r="G8" s="15">
        <f>G6*Assumptions!$C$18</f>
        <v>2.5407436489499999</v>
      </c>
      <c r="H8" s="15">
        <f>H6*Assumptions!$C$18</f>
        <v>2.7708289144815006</v>
      </c>
      <c r="I8" s="15">
        <f>I6*Assumptions!$C$18</f>
        <v>3.0093270007970556</v>
      </c>
      <c r="J8" s="15">
        <f>J6*Assumptions!$C$18</f>
        <v>3.2567512922106441</v>
      </c>
      <c r="K8" s="15">
        <f>K6*Assumptions!$C$18</f>
        <v>3.5136380599537</v>
      </c>
      <c r="L8" s="15">
        <f>L6*Assumptions!$C$18</f>
        <v>3.7805476899899326</v>
      </c>
      <c r="M8" s="15">
        <f>M6*Assumptions!$C$18</f>
        <v>4.0580659697168207</v>
      </c>
      <c r="N8" s="15">
        <f>N6*Assumptions!$C$18</f>
        <v>4.3468054365732325</v>
      </c>
      <c r="O8" s="15">
        <f>O6*Assumptions!$C$18</f>
        <v>4.6474067917213464</v>
      </c>
      <c r="P8" s="15">
        <f>P6*Assumptions!$C$18</f>
        <v>4.9605403821272835</v>
      </c>
      <c r="Q8" s="15">
        <f>Q6*Assumptions!$C$18</f>
        <v>5.2869077545289205</v>
      </c>
      <c r="R8" s="15">
        <f>R6*Assumptions!$C$18</f>
        <v>5.6272432849517813</v>
      </c>
      <c r="S8" s="15">
        <f>S6*Assumptions!$C$18</f>
        <v>5.9823158876148925</v>
      </c>
      <c r="T8" s="15">
        <f>T6*Assumptions!$C$18</f>
        <v>6.3529308072586934</v>
      </c>
      <c r="U8" s="15">
        <f>U6*Assumptions!$C$18</f>
        <v>6.7399314991267936</v>
      </c>
      <c r="V8" s="15">
        <f>V6*Assumptions!$C$18</f>
        <v>7.1442016010431431</v>
      </c>
      <c r="W8" s="15">
        <f>W6*Assumptions!$C$18</f>
        <v>7.5666670022465103</v>
      </c>
      <c r="X8" s="15">
        <f>X6*Assumptions!$C$18</f>
        <v>8.0082980138755087</v>
      </c>
      <c r="Y8" s="15">
        <f>Y6*Assumptions!$C$18</f>
        <v>8.4701116462404578</v>
      </c>
      <c r="Z8" s="2"/>
      <c r="AA8" s="2"/>
    </row>
    <row r="9" spans="1:27">
      <c r="A9" s="2" t="s">
        <v>150</v>
      </c>
      <c r="B9" s="15">
        <f t="shared" ref="B9:Y9" si="0">B6+B7-B8</f>
        <v>56.5</v>
      </c>
      <c r="C9" s="15">
        <f t="shared" si="0"/>
        <v>63.205000000000005</v>
      </c>
      <c r="D9" s="15">
        <f t="shared" si="0"/>
        <v>70.12885</v>
      </c>
      <c r="E9" s="15">
        <f t="shared" si="0"/>
        <v>77.285984499999998</v>
      </c>
      <c r="F9" s="15">
        <f t="shared" si="0"/>
        <v>84.691454965000005</v>
      </c>
      <c r="G9" s="15">
        <f t="shared" si="0"/>
        <v>92.360963816050017</v>
      </c>
      <c r="H9" s="15">
        <f t="shared" si="0"/>
        <v>100.31090002656852</v>
      </c>
      <c r="I9" s="15">
        <f t="shared" si="0"/>
        <v>108.55837640702147</v>
      </c>
      <c r="J9" s="15">
        <f t="shared" si="0"/>
        <v>117.12126866512334</v>
      </c>
      <c r="K9" s="15">
        <f t="shared" si="0"/>
        <v>126.01825633299777</v>
      </c>
      <c r="L9" s="15">
        <f t="shared" si="0"/>
        <v>135.26886565722737</v>
      </c>
      <c r="M9" s="15">
        <f t="shared" si="0"/>
        <v>144.89351455244108</v>
      </c>
      <c r="N9" s="15">
        <f t="shared" si="0"/>
        <v>154.91355972404489</v>
      </c>
      <c r="O9" s="15">
        <f t="shared" si="0"/>
        <v>165.35134607090944</v>
      </c>
      <c r="P9" s="15">
        <f t="shared" si="0"/>
        <v>176.23025848429737</v>
      </c>
      <c r="Q9" s="15">
        <f t="shared" si="0"/>
        <v>187.57477616505938</v>
      </c>
      <c r="R9" s="15">
        <f t="shared" si="0"/>
        <v>199.4105295871631</v>
      </c>
      <c r="S9" s="15">
        <f t="shared" si="0"/>
        <v>211.76436024195647</v>
      </c>
      <c r="T9" s="15">
        <f t="shared" si="0"/>
        <v>224.66438330422645</v>
      </c>
      <c r="U9" s="15">
        <f t="shared" si="0"/>
        <v>238.14005336810479</v>
      </c>
      <c r="V9" s="15">
        <f t="shared" si="0"/>
        <v>252.22223340821702</v>
      </c>
      <c r="W9" s="15">
        <f t="shared" si="0"/>
        <v>266.94326712918365</v>
      </c>
      <c r="X9" s="15">
        <f t="shared" si="0"/>
        <v>282.33705487468194</v>
      </c>
      <c r="Y9" s="15">
        <f t="shared" si="0"/>
        <v>298.43913327578395</v>
      </c>
      <c r="Z9" s="2"/>
      <c r="AA9" s="2"/>
    </row>
    <row r="10" spans="1:27">
      <c r="A10" s="2" t="s">
        <v>151</v>
      </c>
      <c r="B10" s="15">
        <f t="shared" ref="B10:Y10" si="1">AVERAGE(B6,B9)</f>
        <v>53.25</v>
      </c>
      <c r="C10" s="15">
        <f t="shared" si="1"/>
        <v>59.852500000000006</v>
      </c>
      <c r="D10" s="15">
        <f t="shared" si="1"/>
        <v>66.666925000000006</v>
      </c>
      <c r="E10" s="15">
        <f t="shared" si="1"/>
        <v>73.707417249999992</v>
      </c>
      <c r="F10" s="15">
        <f t="shared" si="1"/>
        <v>80.988719732500002</v>
      </c>
      <c r="G10" s="15">
        <f t="shared" si="1"/>
        <v>88.526209390525011</v>
      </c>
      <c r="H10" s="15">
        <f t="shared" si="1"/>
        <v>96.335931921309268</v>
      </c>
      <c r="I10" s="15">
        <f t="shared" si="1"/>
        <v>104.43463821679499</v>
      </c>
      <c r="J10" s="15">
        <f t="shared" si="1"/>
        <v>112.8398225360724</v>
      </c>
      <c r="K10" s="15">
        <f t="shared" si="1"/>
        <v>121.56976249906054</v>
      </c>
      <c r="L10" s="15">
        <f t="shared" si="1"/>
        <v>130.64356099511258</v>
      </c>
      <c r="M10" s="15">
        <f t="shared" si="1"/>
        <v>140.08119010483421</v>
      </c>
      <c r="N10" s="15">
        <f t="shared" si="1"/>
        <v>149.903537138243</v>
      </c>
      <c r="O10" s="15">
        <f t="shared" si="1"/>
        <v>160.13245289747715</v>
      </c>
      <c r="P10" s="15">
        <f t="shared" si="1"/>
        <v>170.7908022776034</v>
      </c>
      <c r="Q10" s="15">
        <f t="shared" si="1"/>
        <v>181.90251732467837</v>
      </c>
      <c r="R10" s="15">
        <f t="shared" si="1"/>
        <v>193.49265287611124</v>
      </c>
      <c r="S10" s="15">
        <f t="shared" si="1"/>
        <v>205.5874449145598</v>
      </c>
      <c r="T10" s="15">
        <f t="shared" si="1"/>
        <v>218.21437177309144</v>
      </c>
      <c r="U10" s="15">
        <f t="shared" si="1"/>
        <v>231.40221833616562</v>
      </c>
      <c r="V10" s="15">
        <f t="shared" si="1"/>
        <v>245.1811433881609</v>
      </c>
      <c r="W10" s="15">
        <f t="shared" si="1"/>
        <v>259.58275026870035</v>
      </c>
      <c r="X10" s="15">
        <f t="shared" si="1"/>
        <v>274.64016100193282</v>
      </c>
      <c r="Y10" s="15">
        <f t="shared" si="1"/>
        <v>290.38809407523297</v>
      </c>
      <c r="Z10" s="2"/>
      <c r="AA10" s="2"/>
    </row>
    <row r="11" spans="1:27">
      <c r="A11" s="2"/>
      <c r="B11" s="2"/>
      <c r="C11" s="2"/>
      <c r="D11" s="2"/>
      <c r="E11" s="2"/>
      <c r="F11" s="2"/>
      <c r="G11" s="2"/>
      <c r="H11" s="2"/>
      <c r="I11" s="2"/>
      <c r="J11" s="2"/>
      <c r="K11" s="2"/>
      <c r="L11" s="2"/>
      <c r="M11" s="2"/>
      <c r="N11" s="2"/>
      <c r="O11" s="2"/>
      <c r="P11" s="2"/>
      <c r="Q11" s="2"/>
      <c r="R11" s="2"/>
      <c r="S11" s="2"/>
      <c r="T11" s="2"/>
      <c r="U11" s="2"/>
      <c r="V11" s="2"/>
      <c r="W11" s="2"/>
      <c r="X11" s="2"/>
      <c r="Y11" s="2"/>
      <c r="Z11" s="2"/>
      <c r="AA11" s="2"/>
    </row>
    <row r="12" spans="1:27">
      <c r="A12" s="5" t="s">
        <v>152</v>
      </c>
      <c r="B12" s="5"/>
      <c r="C12" s="5"/>
      <c r="D12" s="5"/>
      <c r="E12" s="5"/>
      <c r="F12" s="5"/>
      <c r="G12" s="5"/>
      <c r="H12" s="5"/>
      <c r="I12" s="5"/>
      <c r="J12" s="5"/>
      <c r="K12" s="5"/>
      <c r="L12" s="5"/>
      <c r="M12" s="5"/>
      <c r="N12" s="5"/>
      <c r="O12" s="5"/>
      <c r="P12" s="5"/>
      <c r="Q12" s="5"/>
      <c r="R12" s="5"/>
      <c r="S12" s="5"/>
      <c r="T12" s="5"/>
      <c r="U12" s="5"/>
      <c r="V12" s="5"/>
      <c r="W12" s="5"/>
      <c r="X12" s="5"/>
      <c r="Y12" s="5"/>
      <c r="Z12" s="2"/>
      <c r="AA12" s="2"/>
    </row>
    <row r="13" spans="1:27">
      <c r="A13" s="2" t="s">
        <v>153</v>
      </c>
      <c r="B13" s="16">
        <f>Assumptions!$C$13</f>
        <v>25000</v>
      </c>
      <c r="C13" s="16">
        <f>'Revenue Model'!B17</f>
        <v>28391.25</v>
      </c>
      <c r="D13" s="16">
        <f>'Revenue Model'!C17</f>
        <v>31898.210062500002</v>
      </c>
      <c r="E13" s="16">
        <f>'Revenue Model'!D17</f>
        <v>35528.020079428126</v>
      </c>
      <c r="F13" s="16">
        <f>'Revenue Model'!E17</f>
        <v>39288.142874430509</v>
      </c>
      <c r="G13" s="16">
        <f>'Revenue Model'!F17</f>
        <v>43186.381206138583</v>
      </c>
      <c r="H13" s="16">
        <f>'Revenue Model'!G17</f>
        <v>47230.895600054202</v>
      </c>
      <c r="I13" s="16">
        <f>'Revenue Model'!H17</f>
        <v>51430.223051025343</v>
      </c>
      <c r="J13" s="16">
        <f>'Revenue Model'!I17</f>
        <v>55793.296640370179</v>
      </c>
      <c r="K13" s="16">
        <f>'Revenue Model'!J17</f>
        <v>60329.466113896902</v>
      </c>
      <c r="L13" s="16">
        <f>'Revenue Model'!K17</f>
        <v>65048.519469366038</v>
      </c>
      <c r="M13" s="16">
        <f>'Revenue Model'!L17</f>
        <v>69960.705604356801</v>
      </c>
      <c r="N13" s="16">
        <f>'Revenue Model'!M17</f>
        <v>75076.758078034822</v>
      </c>
      <c r="O13" s="16">
        <f>'Revenue Model'!N17</f>
        <v>80407.920042981219</v>
      </c>
      <c r="P13" s="16">
        <f>'Revenue Model'!O17</f>
        <v>85965.970406039647</v>
      </c>
      <c r="Q13" s="16">
        <f>'Revenue Model'!P17</f>
        <v>91763.251280074139</v>
      </c>
      <c r="R13" s="16">
        <f>'Revenue Model'!Q17</f>
        <v>97812.696791613969</v>
      </c>
      <c r="S13" s="16">
        <f>'Revenue Model'!R17</f>
        <v>104127.86331260027</v>
      </c>
      <c r="T13" s="16">
        <f>'Revenue Model'!S17</f>
        <v>110722.96118784852</v>
      </c>
      <c r="U13" s="16">
        <f>'Revenue Model'!T17</f>
        <v>117612.88803341228</v>
      </c>
      <c r="V13" s="16">
        <f>'Revenue Model'!U17</f>
        <v>124813.26368478204</v>
      </c>
      <c r="W13" s="16">
        <f>'Revenue Model'!V17</f>
        <v>132340.46687779034</v>
      </c>
      <c r="X13" s="16">
        <f>'Revenue Model'!W17</f>
        <v>140211.67374922853</v>
      </c>
      <c r="Y13" s="16">
        <f>'Revenue Model'!X17</f>
        <v>148444.89824852077</v>
      </c>
      <c r="Z13" s="2"/>
      <c r="AA13" s="2"/>
    </row>
    <row r="14" spans="1:27">
      <c r="A14" s="2" t="s">
        <v>154</v>
      </c>
      <c r="B14" s="16">
        <f>B7*Assumptions!$C$14</f>
        <v>4000</v>
      </c>
      <c r="C14" s="16">
        <f>C7*Assumptions!$C$14</f>
        <v>4200</v>
      </c>
      <c r="D14" s="16">
        <f>D7*Assumptions!$C$14</f>
        <v>4410</v>
      </c>
      <c r="E14" s="16">
        <f>E7*Assumptions!$C$14</f>
        <v>4630.5000000000009</v>
      </c>
      <c r="F14" s="16">
        <f>F7*Assumptions!$C$14</f>
        <v>4862.0250000000005</v>
      </c>
      <c r="G14" s="16">
        <f>G7*Assumptions!$C$14</f>
        <v>5105.1262500000012</v>
      </c>
      <c r="H14" s="16">
        <f>H7*Assumptions!$C$14</f>
        <v>5360.3825625000018</v>
      </c>
      <c r="I14" s="16">
        <f>I7*Assumptions!$C$14</f>
        <v>5628.4016906250017</v>
      </c>
      <c r="J14" s="16">
        <f>J7*Assumptions!$C$14</f>
        <v>5909.8217751562524</v>
      </c>
      <c r="K14" s="16">
        <f>K7*Assumptions!$C$14</f>
        <v>6205.312863914065</v>
      </c>
      <c r="L14" s="16">
        <f>L7*Assumptions!$C$14</f>
        <v>6515.578507109768</v>
      </c>
      <c r="M14" s="16">
        <f>M7*Assumptions!$C$14</f>
        <v>6841.3574324652573</v>
      </c>
      <c r="N14" s="16">
        <f>N7*Assumptions!$C$14</f>
        <v>7183.4253040885205</v>
      </c>
      <c r="O14" s="16">
        <f>O7*Assumptions!$C$14</f>
        <v>7542.5965692929467</v>
      </c>
      <c r="P14" s="16">
        <f>P7*Assumptions!$C$14</f>
        <v>7919.7263977575949</v>
      </c>
      <c r="Q14" s="16">
        <f>Q7*Assumptions!$C$14</f>
        <v>8315.7127176454742</v>
      </c>
      <c r="R14" s="16">
        <f>R7*Assumptions!$C$14</f>
        <v>8731.4983535277497</v>
      </c>
      <c r="S14" s="16">
        <f>S7*Assumptions!$C$14</f>
        <v>9168.0732712041372</v>
      </c>
      <c r="T14" s="16">
        <f>T7*Assumptions!$C$14</f>
        <v>9626.4769347643451</v>
      </c>
      <c r="U14" s="16">
        <f>U7*Assumptions!$C$14</f>
        <v>10107.800781502561</v>
      </c>
      <c r="V14" s="16">
        <f>V7*Assumptions!$C$14</f>
        <v>10613.190820577691</v>
      </c>
      <c r="W14" s="16">
        <f>W7*Assumptions!$C$14</f>
        <v>11143.850361606575</v>
      </c>
      <c r="X14" s="16">
        <f>X7*Assumptions!$C$14</f>
        <v>11701.042879686906</v>
      </c>
      <c r="Y14" s="16">
        <f>Y7*Assumptions!$C$14</f>
        <v>12286.095023671251</v>
      </c>
      <c r="Z14" s="2"/>
      <c r="AA14" s="2"/>
    </row>
    <row r="15" spans="1:27">
      <c r="A15" s="2" t="s">
        <v>155</v>
      </c>
      <c r="B15" s="16">
        <f>B13*Assumptions!$C$18</f>
        <v>750</v>
      </c>
      <c r="C15" s="16">
        <f>C13*Assumptions!$C$18</f>
        <v>851.73749999999995</v>
      </c>
      <c r="D15" s="16">
        <f>D13*Assumptions!$C$18</f>
        <v>956.94630187500002</v>
      </c>
      <c r="E15" s="16">
        <f>E13*Assumptions!$C$18</f>
        <v>1065.8406023828438</v>
      </c>
      <c r="F15" s="16">
        <f>F13*Assumptions!$C$18</f>
        <v>1178.6442862329152</v>
      </c>
      <c r="G15" s="16">
        <f>G13*Assumptions!$C$18</f>
        <v>1295.5914361841574</v>
      </c>
      <c r="H15" s="16">
        <f>H13*Assumptions!$C$18</f>
        <v>1416.926868001626</v>
      </c>
      <c r="I15" s="16">
        <f>I13*Assumptions!$C$18</f>
        <v>1542.9066915307603</v>
      </c>
      <c r="J15" s="16">
        <f>J13*Assumptions!$C$18</f>
        <v>1673.7988992111052</v>
      </c>
      <c r="K15" s="16">
        <f>K13*Assumptions!$C$18</f>
        <v>1809.8839834169071</v>
      </c>
      <c r="L15" s="16">
        <f>L13*Assumptions!$C$18</f>
        <v>1951.455584080981</v>
      </c>
      <c r="M15" s="16">
        <f>M13*Assumptions!$C$18</f>
        <v>2098.8211681307039</v>
      </c>
      <c r="N15" s="16">
        <f>N13*Assumptions!$C$18</f>
        <v>2252.3027423410444</v>
      </c>
      <c r="O15" s="16">
        <f>O13*Assumptions!$C$18</f>
        <v>2412.2376012894365</v>
      </c>
      <c r="P15" s="16">
        <f>P13*Assumptions!$C$18</f>
        <v>2578.9791121811895</v>
      </c>
      <c r="Q15" s="16">
        <f>Q13*Assumptions!$C$18</f>
        <v>2752.8975384022242</v>
      </c>
      <c r="R15" s="16">
        <f>R13*Assumptions!$C$18</f>
        <v>2934.3809037484189</v>
      </c>
      <c r="S15" s="16">
        <f>S13*Assumptions!$C$18</f>
        <v>3123.835899378008</v>
      </c>
      <c r="T15" s="16">
        <f>T13*Assumptions!$C$18</f>
        <v>3321.6888356354552</v>
      </c>
      <c r="U15" s="16">
        <f>U13*Assumptions!$C$18</f>
        <v>3528.3866410023684</v>
      </c>
      <c r="V15" s="16">
        <f>V13*Assumptions!$C$18</f>
        <v>3744.397910543461</v>
      </c>
      <c r="W15" s="16">
        <f>W13*Assumptions!$C$18</f>
        <v>3970.2140063337101</v>
      </c>
      <c r="X15" s="16">
        <f>X13*Assumptions!$C$18</f>
        <v>4206.3502124768556</v>
      </c>
      <c r="Y15" s="16">
        <f>Y13*Assumptions!$C$18</f>
        <v>4453.3469474556232</v>
      </c>
      <c r="Z15" s="2"/>
      <c r="AA15" s="2"/>
    </row>
    <row r="16" spans="1:27">
      <c r="A16" s="2" t="s">
        <v>156</v>
      </c>
      <c r="B16" s="16">
        <f>(B13-B15+B14)*Assumptions!$C$19</f>
        <v>141.25</v>
      </c>
      <c r="C16" s="16">
        <f>(C13-C15+C14)*Assumptions!$C$19</f>
        <v>158.6975625</v>
      </c>
      <c r="D16" s="16">
        <f>(D13-D15+D14)*Assumptions!$C$19</f>
        <v>176.75631880312503</v>
      </c>
      <c r="E16" s="16">
        <f>(E13-E15+E14)*Assumptions!$C$19</f>
        <v>195.46339738522641</v>
      </c>
      <c r="F16" s="16">
        <f>(F13-F15+F14)*Assumptions!$C$19</f>
        <v>214.85761794098798</v>
      </c>
      <c r="G16" s="16">
        <f>(G13-G15+G14)*Assumptions!$C$19</f>
        <v>234.97958009977214</v>
      </c>
      <c r="H16" s="16">
        <f>(H13-H15+H14)*Assumptions!$C$19</f>
        <v>255.87175647276291</v>
      </c>
      <c r="I16" s="16">
        <f>(I13-I15+I14)*Assumptions!$C$19</f>
        <v>277.57859025059793</v>
      </c>
      <c r="J16" s="16">
        <f>(J13-J15+J14)*Assumptions!$C$19</f>
        <v>300.14659758157666</v>
      </c>
      <c r="K16" s="16">
        <f>(K13-K15+K14)*Assumptions!$C$19</f>
        <v>323.6244749719703</v>
      </c>
      <c r="L16" s="16">
        <f>(L13-L15+L14)*Assumptions!$C$19</f>
        <v>348.0632119619741</v>
      </c>
      <c r="M16" s="16">
        <f>(M13-M15+M14)*Assumptions!$C$19</f>
        <v>373.51620934345681</v>
      </c>
      <c r="N16" s="16">
        <f>(N13-N15+N14)*Assumptions!$C$19</f>
        <v>400.03940319891154</v>
      </c>
      <c r="O16" s="16">
        <f>(O13-O15+O14)*Assumptions!$C$19</f>
        <v>427.69139505492365</v>
      </c>
      <c r="P16" s="16">
        <f>(P13-P15+P14)*Assumptions!$C$19</f>
        <v>456.53358845808026</v>
      </c>
      <c r="Q16" s="16">
        <f>(Q13-Q15+Q14)*Assumptions!$C$19</f>
        <v>486.63033229658703</v>
      </c>
      <c r="R16" s="16">
        <f>(R13-R15+R14)*Assumptions!$C$19</f>
        <v>518.04907120696646</v>
      </c>
      <c r="S16" s="16">
        <f>(S13-S15+S14)*Assumptions!$C$19</f>
        <v>550.86050342213196</v>
      </c>
      <c r="T16" s="16">
        <f>(T13-T15+T14)*Assumptions!$C$19</f>
        <v>585.13874643488703</v>
      </c>
      <c r="U16" s="16">
        <f>(U13-U15+U14)*Assumptions!$C$19</f>
        <v>620.9615108695624</v>
      </c>
      <c r="V16" s="16">
        <f>(V13-V15+V14)*Assumptions!$C$19</f>
        <v>658.41028297408138</v>
      </c>
      <c r="W16" s="16">
        <f>(W13-W15+W14)*Assumptions!$C$19</f>
        <v>697.57051616531612</v>
      </c>
      <c r="X16" s="16">
        <f>(X13-X15+X14)*Assumptions!$C$19</f>
        <v>738.53183208219286</v>
      </c>
      <c r="Y16" s="16">
        <f>(Y13-Y15+Y14)*Assumptions!$C$19</f>
        <v>781.38823162368192</v>
      </c>
      <c r="Z16" s="2"/>
      <c r="AA16" s="2"/>
    </row>
    <row r="17" spans="1:27">
      <c r="A17" s="2" t="s">
        <v>157</v>
      </c>
      <c r="B17" s="16">
        <f t="shared" ref="B17:Y17" si="2">B13+B14-B15+B16</f>
        <v>28391.25</v>
      </c>
      <c r="C17" s="16">
        <f t="shared" si="2"/>
        <v>31898.210062500002</v>
      </c>
      <c r="D17" s="16">
        <f t="shared" si="2"/>
        <v>35528.020079428126</v>
      </c>
      <c r="E17" s="16">
        <f t="shared" si="2"/>
        <v>39288.142874430509</v>
      </c>
      <c r="F17" s="16">
        <f t="shared" si="2"/>
        <v>43186.381206138583</v>
      </c>
      <c r="G17" s="16">
        <f t="shared" si="2"/>
        <v>47230.895600054202</v>
      </c>
      <c r="H17" s="16">
        <f t="shared" si="2"/>
        <v>51430.223051025343</v>
      </c>
      <c r="I17" s="16">
        <f t="shared" si="2"/>
        <v>55793.296640370179</v>
      </c>
      <c r="J17" s="16">
        <f t="shared" si="2"/>
        <v>60329.466113896902</v>
      </c>
      <c r="K17" s="16">
        <f t="shared" si="2"/>
        <v>65048.519469366038</v>
      </c>
      <c r="L17" s="16">
        <f t="shared" si="2"/>
        <v>69960.705604356801</v>
      </c>
      <c r="M17" s="16">
        <f t="shared" si="2"/>
        <v>75076.758078034822</v>
      </c>
      <c r="N17" s="16">
        <f t="shared" si="2"/>
        <v>80407.920042981219</v>
      </c>
      <c r="O17" s="16">
        <f t="shared" si="2"/>
        <v>85965.970406039647</v>
      </c>
      <c r="P17" s="16">
        <f t="shared" si="2"/>
        <v>91763.251280074139</v>
      </c>
      <c r="Q17" s="16">
        <f t="shared" si="2"/>
        <v>97812.696791613969</v>
      </c>
      <c r="R17" s="16">
        <f t="shared" si="2"/>
        <v>104127.86331260027</v>
      </c>
      <c r="S17" s="16">
        <f t="shared" si="2"/>
        <v>110722.96118784852</v>
      </c>
      <c r="T17" s="16">
        <f t="shared" si="2"/>
        <v>117612.88803341228</v>
      </c>
      <c r="U17" s="16">
        <f t="shared" si="2"/>
        <v>124813.26368478204</v>
      </c>
      <c r="V17" s="16">
        <f t="shared" si="2"/>
        <v>132340.46687779034</v>
      </c>
      <c r="W17" s="16">
        <f t="shared" si="2"/>
        <v>140211.67374922853</v>
      </c>
      <c r="X17" s="16">
        <f t="shared" si="2"/>
        <v>148444.89824852077</v>
      </c>
      <c r="Y17" s="16">
        <f t="shared" si="2"/>
        <v>157059.03455636007</v>
      </c>
      <c r="Z17" s="2"/>
      <c r="AA17" s="2"/>
    </row>
    <row r="18" spans="1:27">
      <c r="A18" s="2" t="s">
        <v>158</v>
      </c>
      <c r="B18" s="16">
        <f t="shared" ref="B18:Y18" si="3">B17*12</f>
        <v>340695</v>
      </c>
      <c r="C18" s="16">
        <f t="shared" si="3"/>
        <v>382778.52075000003</v>
      </c>
      <c r="D18" s="16">
        <f t="shared" si="3"/>
        <v>426336.24095313752</v>
      </c>
      <c r="E18" s="16">
        <f t="shared" si="3"/>
        <v>471457.71449316607</v>
      </c>
      <c r="F18" s="16">
        <f t="shared" si="3"/>
        <v>518236.574473663</v>
      </c>
      <c r="G18" s="16">
        <f t="shared" si="3"/>
        <v>566770.7472006504</v>
      </c>
      <c r="H18" s="16">
        <f t="shared" si="3"/>
        <v>617162.67661230406</v>
      </c>
      <c r="I18" s="16">
        <f t="shared" si="3"/>
        <v>669519.55968444212</v>
      </c>
      <c r="J18" s="16">
        <f t="shared" si="3"/>
        <v>723953.59336676286</v>
      </c>
      <c r="K18" s="16">
        <f t="shared" si="3"/>
        <v>780582.23363239248</v>
      </c>
      <c r="L18" s="16">
        <f t="shared" si="3"/>
        <v>839528.46725228161</v>
      </c>
      <c r="M18" s="16">
        <f t="shared" si="3"/>
        <v>900921.09693641786</v>
      </c>
      <c r="N18" s="16">
        <f t="shared" si="3"/>
        <v>964895.04051577463</v>
      </c>
      <c r="O18" s="16">
        <f t="shared" si="3"/>
        <v>1031591.6448724758</v>
      </c>
      <c r="P18" s="16">
        <f t="shared" si="3"/>
        <v>1101159.0153608897</v>
      </c>
      <c r="Q18" s="16">
        <f t="shared" si="3"/>
        <v>1173752.3614993677</v>
      </c>
      <c r="R18" s="16">
        <f t="shared" si="3"/>
        <v>1249534.3597512031</v>
      </c>
      <c r="S18" s="16">
        <f t="shared" si="3"/>
        <v>1328675.5342541821</v>
      </c>
      <c r="T18" s="16">
        <f t="shared" si="3"/>
        <v>1411354.6564009474</v>
      </c>
      <c r="U18" s="16">
        <f t="shared" si="3"/>
        <v>1497759.1642173845</v>
      </c>
      <c r="V18" s="16">
        <f t="shared" si="3"/>
        <v>1588085.6025334841</v>
      </c>
      <c r="W18" s="16">
        <f t="shared" si="3"/>
        <v>1682540.0849907424</v>
      </c>
      <c r="X18" s="16">
        <f t="shared" si="3"/>
        <v>1781338.7789822491</v>
      </c>
      <c r="Y18" s="16">
        <f t="shared" si="3"/>
        <v>1884708.4146763207</v>
      </c>
      <c r="Z18" s="2"/>
      <c r="AA18" s="2"/>
    </row>
    <row r="19" spans="1:27">
      <c r="A19" s="2" t="s">
        <v>159</v>
      </c>
      <c r="B19" s="16">
        <f t="shared" ref="B19:Y19" si="4">AVERAGE(B13,B17)</f>
        <v>26695.625</v>
      </c>
      <c r="C19" s="16">
        <f t="shared" si="4"/>
        <v>30144.730031250001</v>
      </c>
      <c r="D19" s="16">
        <f t="shared" si="4"/>
        <v>33713.115070964064</v>
      </c>
      <c r="E19" s="16">
        <f t="shared" si="4"/>
        <v>37408.081476929321</v>
      </c>
      <c r="F19" s="16">
        <f t="shared" si="4"/>
        <v>41237.26204028455</v>
      </c>
      <c r="G19" s="16">
        <f t="shared" si="4"/>
        <v>45208.638403096396</v>
      </c>
      <c r="H19" s="16">
        <f t="shared" si="4"/>
        <v>49330.559325539769</v>
      </c>
      <c r="I19" s="16">
        <f t="shared" si="4"/>
        <v>53611.759845697758</v>
      </c>
      <c r="J19" s="16">
        <f t="shared" si="4"/>
        <v>58061.381377133541</v>
      </c>
      <c r="K19" s="16">
        <f t="shared" si="4"/>
        <v>62688.99279163147</v>
      </c>
      <c r="L19" s="16">
        <f t="shared" si="4"/>
        <v>67504.612536861416</v>
      </c>
      <c r="M19" s="16">
        <f t="shared" si="4"/>
        <v>72518.731841195811</v>
      </c>
      <c r="N19" s="16">
        <f t="shared" si="4"/>
        <v>77742.33906050802</v>
      </c>
      <c r="O19" s="16">
        <f t="shared" si="4"/>
        <v>83186.945224510433</v>
      </c>
      <c r="P19" s="16">
        <f t="shared" si="4"/>
        <v>88864.6108430569</v>
      </c>
      <c r="Q19" s="16">
        <f t="shared" si="4"/>
        <v>94787.974035844061</v>
      </c>
      <c r="R19" s="16">
        <f t="shared" si="4"/>
        <v>100970.28005210712</v>
      </c>
      <c r="S19" s="16">
        <f t="shared" si="4"/>
        <v>107425.41225022438</v>
      </c>
      <c r="T19" s="16">
        <f t="shared" si="4"/>
        <v>114167.92461063041</v>
      </c>
      <c r="U19" s="16">
        <f t="shared" si="4"/>
        <v>121213.07585909715</v>
      </c>
      <c r="V19" s="16">
        <f t="shared" si="4"/>
        <v>128576.86528128618</v>
      </c>
      <c r="W19" s="16">
        <f t="shared" si="4"/>
        <v>136276.07031350944</v>
      </c>
      <c r="X19" s="16">
        <f t="shared" si="4"/>
        <v>144328.28599887463</v>
      </c>
      <c r="Y19" s="16">
        <f t="shared" si="4"/>
        <v>152751.96640244042</v>
      </c>
      <c r="Z19" s="2"/>
      <c r="AA19" s="2"/>
    </row>
    <row r="20" spans="1:27">
      <c r="A20" s="2" t="s">
        <v>160</v>
      </c>
      <c r="B20" s="16">
        <f>B7*Assumptions!$C$20</f>
        <v>0</v>
      </c>
      <c r="C20" s="16">
        <f>C7*Assumptions!$C$20</f>
        <v>0</v>
      </c>
      <c r="D20" s="16">
        <f>D7*Assumptions!$C$20</f>
        <v>0</v>
      </c>
      <c r="E20" s="16">
        <f>E7*Assumptions!$C$20</f>
        <v>0</v>
      </c>
      <c r="F20" s="16">
        <f>F7*Assumptions!$C$20</f>
        <v>0</v>
      </c>
      <c r="G20" s="16">
        <f>G7*Assumptions!$C$20</f>
        <v>0</v>
      </c>
      <c r="H20" s="16">
        <f>H7*Assumptions!$C$20</f>
        <v>0</v>
      </c>
      <c r="I20" s="16">
        <f>I7*Assumptions!$C$20</f>
        <v>0</v>
      </c>
      <c r="J20" s="16">
        <f>J7*Assumptions!$C$20</f>
        <v>0</v>
      </c>
      <c r="K20" s="16">
        <f>K7*Assumptions!$C$20</f>
        <v>0</v>
      </c>
      <c r="L20" s="16">
        <f>L7*Assumptions!$C$20</f>
        <v>0</v>
      </c>
      <c r="M20" s="16">
        <f>M7*Assumptions!$C$20</f>
        <v>0</v>
      </c>
      <c r="N20" s="16">
        <f>N7*Assumptions!$C$20</f>
        <v>0</v>
      </c>
      <c r="O20" s="16">
        <f>O7*Assumptions!$C$20</f>
        <v>0</v>
      </c>
      <c r="P20" s="16">
        <f>P7*Assumptions!$C$20</f>
        <v>0</v>
      </c>
      <c r="Q20" s="16">
        <f>Q7*Assumptions!$C$20</f>
        <v>0</v>
      </c>
      <c r="R20" s="16">
        <f>R7*Assumptions!$C$20</f>
        <v>0</v>
      </c>
      <c r="S20" s="16">
        <f>S7*Assumptions!$C$20</f>
        <v>0</v>
      </c>
      <c r="T20" s="16">
        <f>T7*Assumptions!$C$20</f>
        <v>0</v>
      </c>
      <c r="U20" s="16">
        <f>U7*Assumptions!$C$20</f>
        <v>0</v>
      </c>
      <c r="V20" s="16">
        <f>V7*Assumptions!$C$20</f>
        <v>0</v>
      </c>
      <c r="W20" s="16">
        <f>W7*Assumptions!$C$20</f>
        <v>0</v>
      </c>
      <c r="X20" s="16">
        <f>X7*Assumptions!$C$20</f>
        <v>0</v>
      </c>
      <c r="Y20" s="16">
        <f>Y7*Assumptions!$C$20</f>
        <v>0</v>
      </c>
      <c r="Z20" s="2"/>
      <c r="AA20" s="2"/>
    </row>
    <row r="21" spans="1:27">
      <c r="A21" s="2" t="s">
        <v>161</v>
      </c>
      <c r="B21" s="16">
        <f t="shared" ref="B21:Y21" si="5">B19+B20</f>
        <v>26695.625</v>
      </c>
      <c r="C21" s="16">
        <f t="shared" si="5"/>
        <v>30144.730031250001</v>
      </c>
      <c r="D21" s="16">
        <f t="shared" si="5"/>
        <v>33713.115070964064</v>
      </c>
      <c r="E21" s="16">
        <f t="shared" si="5"/>
        <v>37408.081476929321</v>
      </c>
      <c r="F21" s="16">
        <f t="shared" si="5"/>
        <v>41237.26204028455</v>
      </c>
      <c r="G21" s="16">
        <f t="shared" si="5"/>
        <v>45208.638403096396</v>
      </c>
      <c r="H21" s="16">
        <f t="shared" si="5"/>
        <v>49330.559325539769</v>
      </c>
      <c r="I21" s="16">
        <f t="shared" si="5"/>
        <v>53611.759845697758</v>
      </c>
      <c r="J21" s="16">
        <f t="shared" si="5"/>
        <v>58061.381377133541</v>
      </c>
      <c r="K21" s="16">
        <f t="shared" si="5"/>
        <v>62688.99279163147</v>
      </c>
      <c r="L21" s="16">
        <f t="shared" si="5"/>
        <v>67504.612536861416</v>
      </c>
      <c r="M21" s="16">
        <f t="shared" si="5"/>
        <v>72518.731841195811</v>
      </c>
      <c r="N21" s="16">
        <f t="shared" si="5"/>
        <v>77742.33906050802</v>
      </c>
      <c r="O21" s="16">
        <f t="shared" si="5"/>
        <v>83186.945224510433</v>
      </c>
      <c r="P21" s="16">
        <f t="shared" si="5"/>
        <v>88864.6108430569</v>
      </c>
      <c r="Q21" s="16">
        <f t="shared" si="5"/>
        <v>94787.974035844061</v>
      </c>
      <c r="R21" s="16">
        <f t="shared" si="5"/>
        <v>100970.28005210712</v>
      </c>
      <c r="S21" s="16">
        <f t="shared" si="5"/>
        <v>107425.41225022438</v>
      </c>
      <c r="T21" s="16">
        <f t="shared" si="5"/>
        <v>114167.92461063041</v>
      </c>
      <c r="U21" s="16">
        <f t="shared" si="5"/>
        <v>121213.07585909715</v>
      </c>
      <c r="V21" s="16">
        <f t="shared" si="5"/>
        <v>128576.86528128618</v>
      </c>
      <c r="W21" s="16">
        <f t="shared" si="5"/>
        <v>136276.07031350944</v>
      </c>
      <c r="X21" s="16">
        <f t="shared" si="5"/>
        <v>144328.28599887463</v>
      </c>
      <c r="Y21" s="16">
        <f t="shared" si="5"/>
        <v>152751.96640244042</v>
      </c>
      <c r="Z21" s="2"/>
      <c r="AA21" s="2"/>
    </row>
    <row r="22" spans="1:27">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spans="1:27">
      <c r="A23" s="5" t="s">
        <v>162</v>
      </c>
      <c r="B23" s="5"/>
      <c r="C23" s="5"/>
      <c r="D23" s="5"/>
      <c r="E23" s="5"/>
      <c r="F23" s="5"/>
      <c r="G23" s="5"/>
      <c r="H23" s="5"/>
      <c r="I23" s="5"/>
      <c r="J23" s="5"/>
      <c r="K23" s="5"/>
      <c r="L23" s="5"/>
      <c r="M23" s="5"/>
      <c r="N23" s="5"/>
      <c r="O23" s="5"/>
      <c r="P23" s="5"/>
      <c r="Q23" s="5"/>
      <c r="R23" s="5"/>
      <c r="S23" s="5"/>
      <c r="T23" s="5"/>
      <c r="U23" s="5"/>
      <c r="V23" s="5"/>
      <c r="W23" s="5"/>
      <c r="X23" s="5"/>
      <c r="Y23" s="5"/>
      <c r="Z23" s="2"/>
      <c r="AA23" s="2"/>
    </row>
    <row r="24" spans="1:27">
      <c r="A24" s="2" t="s">
        <v>163</v>
      </c>
      <c r="B24" s="17">
        <f t="shared" ref="B24:Y24" si="6">B8/B6</f>
        <v>0.03</v>
      </c>
      <c r="C24" s="17">
        <f t="shared" si="6"/>
        <v>0.03</v>
      </c>
      <c r="D24" s="17">
        <f t="shared" si="6"/>
        <v>0.03</v>
      </c>
      <c r="E24" s="17">
        <f t="shared" si="6"/>
        <v>0.03</v>
      </c>
      <c r="F24" s="17">
        <f t="shared" si="6"/>
        <v>3.0000000000000002E-2</v>
      </c>
      <c r="G24" s="17">
        <f t="shared" si="6"/>
        <v>0.03</v>
      </c>
      <c r="H24" s="17">
        <f t="shared" si="6"/>
        <v>3.0000000000000002E-2</v>
      </c>
      <c r="I24" s="17">
        <f t="shared" si="6"/>
        <v>3.0000000000000002E-2</v>
      </c>
      <c r="J24" s="17">
        <f t="shared" si="6"/>
        <v>0.03</v>
      </c>
      <c r="K24" s="17">
        <f t="shared" si="6"/>
        <v>0.03</v>
      </c>
      <c r="L24" s="17">
        <f t="shared" si="6"/>
        <v>0.03</v>
      </c>
      <c r="M24" s="17">
        <f t="shared" si="6"/>
        <v>0.03</v>
      </c>
      <c r="N24" s="17">
        <f t="shared" si="6"/>
        <v>3.0000000000000002E-2</v>
      </c>
      <c r="O24" s="17">
        <f t="shared" si="6"/>
        <v>0.03</v>
      </c>
      <c r="P24" s="17">
        <f t="shared" si="6"/>
        <v>3.0000000000000002E-2</v>
      </c>
      <c r="Q24" s="17">
        <f t="shared" si="6"/>
        <v>0.03</v>
      </c>
      <c r="R24" s="17">
        <f t="shared" si="6"/>
        <v>0.03</v>
      </c>
      <c r="S24" s="17">
        <f t="shared" si="6"/>
        <v>0.03</v>
      </c>
      <c r="T24" s="17">
        <f t="shared" si="6"/>
        <v>2.9999999999999995E-2</v>
      </c>
      <c r="U24" s="17">
        <f t="shared" si="6"/>
        <v>3.0000000000000002E-2</v>
      </c>
      <c r="V24" s="17">
        <f t="shared" si="6"/>
        <v>0.03</v>
      </c>
      <c r="W24" s="17">
        <f t="shared" si="6"/>
        <v>0.03</v>
      </c>
      <c r="X24" s="17">
        <f t="shared" si="6"/>
        <v>2.9999999999999995E-2</v>
      </c>
      <c r="Y24" s="17">
        <f t="shared" si="6"/>
        <v>0.03</v>
      </c>
      <c r="Z24" s="2"/>
      <c r="AA24" s="2"/>
    </row>
    <row r="25" spans="1:27">
      <c r="A25" s="2" t="s">
        <v>164</v>
      </c>
      <c r="B25" s="17" t="str">
        <f>"n/a"</f>
        <v>n/a</v>
      </c>
      <c r="C25" s="17">
        <f t="shared" ref="C25:Y25" si="7">C17/B17-1</f>
        <v>0.12352256637168146</v>
      </c>
      <c r="D25" s="17">
        <f t="shared" si="7"/>
        <v>0.11379353292288275</v>
      </c>
      <c r="E25" s="17">
        <f t="shared" si="7"/>
        <v>0.10583541628821624</v>
      </c>
      <c r="F25" s="17">
        <f t="shared" si="7"/>
        <v>9.9221751055205143E-2</v>
      </c>
      <c r="G25" s="17">
        <f t="shared" si="7"/>
        <v>9.365254232833764E-2</v>
      </c>
      <c r="H25" s="17">
        <f t="shared" si="7"/>
        <v>8.8910603909156505E-2</v>
      </c>
      <c r="I25" s="17">
        <f t="shared" si="7"/>
        <v>8.4834817554964026E-2</v>
      </c>
      <c r="J25" s="17">
        <f t="shared" si="7"/>
        <v>8.1303126839156858E-2</v>
      </c>
      <c r="K25" s="17">
        <f t="shared" si="7"/>
        <v>7.8221367756843074E-2</v>
      </c>
      <c r="L25" s="17">
        <f t="shared" si="7"/>
        <v>7.5515725416380963E-2</v>
      </c>
      <c r="M25" s="17">
        <f t="shared" si="7"/>
        <v>7.3127513930611565E-2</v>
      </c>
      <c r="N25" s="17">
        <f t="shared" si="7"/>
        <v>7.1009485510884485E-2</v>
      </c>
      <c r="O25" s="17">
        <f t="shared" si="7"/>
        <v>6.9123170454943095E-2</v>
      </c>
      <c r="P25" s="17">
        <f t="shared" si="7"/>
        <v>6.7436927038134087E-2</v>
      </c>
      <c r="Q25" s="17">
        <f t="shared" si="7"/>
        <v>6.5924489674805464E-2</v>
      </c>
      <c r="R25" s="17">
        <f t="shared" si="7"/>
        <v>6.4563872872664962E-2</v>
      </c>
      <c r="S25" s="17">
        <f t="shared" si="7"/>
        <v>6.333653323365751E-2</v>
      </c>
      <c r="T25" s="17">
        <f t="shared" si="7"/>
        <v>6.2226721283894948E-2</v>
      </c>
      <c r="U25" s="17">
        <f t="shared" si="7"/>
        <v>6.1220974773820824E-2</v>
      </c>
      <c r="V25" s="17">
        <f t="shared" si="7"/>
        <v>6.0307718673380473E-2</v>
      </c>
      <c r="W25" s="17">
        <f t="shared" si="7"/>
        <v>5.9476946523899121E-2</v>
      </c>
      <c r="X25" s="17">
        <f t="shared" si="7"/>
        <v>5.8719964459004403E-2</v>
      </c>
      <c r="Y25" s="17">
        <f t="shared" si="7"/>
        <v>5.8029183956311181E-2</v>
      </c>
      <c r="Z25" s="2"/>
      <c r="AA25" s="2"/>
    </row>
    <row r="26" spans="1:27">
      <c r="A26" s="2" t="s">
        <v>165</v>
      </c>
      <c r="B26" s="16">
        <f t="shared" ref="B26:Y26" si="8">B17-B13</f>
        <v>3391.25</v>
      </c>
      <c r="C26" s="16">
        <f t="shared" si="8"/>
        <v>3506.9600625000021</v>
      </c>
      <c r="D26" s="16">
        <f t="shared" si="8"/>
        <v>3629.8100169281242</v>
      </c>
      <c r="E26" s="16">
        <f t="shared" si="8"/>
        <v>3760.1227950023822</v>
      </c>
      <c r="F26" s="16">
        <f t="shared" si="8"/>
        <v>3898.2383317080748</v>
      </c>
      <c r="G26" s="16">
        <f t="shared" si="8"/>
        <v>4044.5143939156187</v>
      </c>
      <c r="H26" s="16">
        <f t="shared" si="8"/>
        <v>4199.3274509711409</v>
      </c>
      <c r="I26" s="16">
        <f t="shared" si="8"/>
        <v>4363.0735893448364</v>
      </c>
      <c r="J26" s="16">
        <f t="shared" si="8"/>
        <v>4536.1694735267229</v>
      </c>
      <c r="K26" s="16">
        <f t="shared" si="8"/>
        <v>4719.0533554691356</v>
      </c>
      <c r="L26" s="16">
        <f t="shared" si="8"/>
        <v>4912.1861349907631</v>
      </c>
      <c r="M26" s="16">
        <f t="shared" si="8"/>
        <v>5116.0524736780208</v>
      </c>
      <c r="N26" s="16">
        <f t="shared" si="8"/>
        <v>5331.1619649463973</v>
      </c>
      <c r="O26" s="16">
        <f t="shared" si="8"/>
        <v>5558.050363058428</v>
      </c>
      <c r="P26" s="16">
        <f t="shared" si="8"/>
        <v>5797.2808740344917</v>
      </c>
      <c r="Q26" s="16">
        <f t="shared" si="8"/>
        <v>6049.4455115398305</v>
      </c>
      <c r="R26" s="16">
        <f t="shared" si="8"/>
        <v>6315.1665209862986</v>
      </c>
      <c r="S26" s="16">
        <f t="shared" si="8"/>
        <v>6595.0978752482479</v>
      </c>
      <c r="T26" s="16">
        <f t="shared" si="8"/>
        <v>6889.9268455637648</v>
      </c>
      <c r="U26" s="16">
        <f t="shared" si="8"/>
        <v>7200.375651369759</v>
      </c>
      <c r="V26" s="16">
        <f t="shared" si="8"/>
        <v>7527.2031930083031</v>
      </c>
      <c r="W26" s="16">
        <f t="shared" si="8"/>
        <v>7871.2068714381894</v>
      </c>
      <c r="X26" s="16">
        <f t="shared" si="8"/>
        <v>8233.2244992922351</v>
      </c>
      <c r="Y26" s="16">
        <f t="shared" si="8"/>
        <v>8614.1363078393042</v>
      </c>
      <c r="Z26" s="2"/>
      <c r="AA26" s="2"/>
    </row>
    <row r="27" spans="1:27">
      <c r="A27" s="2" t="s">
        <v>166</v>
      </c>
      <c r="B27" s="16">
        <f t="shared" ref="B27:Y27" si="9">B17/B9</f>
        <v>502.5</v>
      </c>
      <c r="C27" s="16">
        <f t="shared" si="9"/>
        <v>504.67858654378608</v>
      </c>
      <c r="D27" s="16">
        <f t="shared" si="9"/>
        <v>506.61061858889923</v>
      </c>
      <c r="E27" s="16">
        <f t="shared" si="9"/>
        <v>508.34757593636539</v>
      </c>
      <c r="F27" s="16">
        <f t="shared" si="9"/>
        <v>509.92607487952586</v>
      </c>
      <c r="G27" s="16">
        <f t="shared" si="9"/>
        <v>511.3729182614556</v>
      </c>
      <c r="H27" s="16">
        <f t="shared" si="9"/>
        <v>512.70822051644882</v>
      </c>
      <c r="I27" s="16">
        <f t="shared" si="9"/>
        <v>513.94741232295655</v>
      </c>
      <c r="J27" s="16">
        <f t="shared" si="9"/>
        <v>515.10256677967459</v>
      </c>
      <c r="K27" s="16">
        <f t="shared" si="9"/>
        <v>516.18330043766161</v>
      </c>
      <c r="L27" s="16">
        <f t="shared" si="9"/>
        <v>517.19739989272853</v>
      </c>
      <c r="M27" s="16">
        <f t="shared" si="9"/>
        <v>518.15126653486209</v>
      </c>
      <c r="N27" s="16">
        <f t="shared" si="9"/>
        <v>519.05023799217952</v>
      </c>
      <c r="O27" s="16">
        <f t="shared" si="9"/>
        <v>519.89882422350468</v>
      </c>
      <c r="P27" s="16">
        <f t="shared" si="9"/>
        <v>520.70088343115333</v>
      </c>
      <c r="Q27" s="16">
        <f t="shared" si="9"/>
        <v>521.45975483154598</v>
      </c>
      <c r="R27" s="16">
        <f t="shared" si="9"/>
        <v>522.17836003030914</v>
      </c>
      <c r="S27" s="16">
        <f t="shared" si="9"/>
        <v>522.85928123759504</v>
      </c>
      <c r="T27" s="16">
        <f t="shared" si="9"/>
        <v>523.50482218691639</v>
      </c>
      <c r="U27" s="16">
        <f t="shared" si="9"/>
        <v>524.11705599079562</v>
      </c>
      <c r="V27" s="16">
        <f t="shared" si="9"/>
        <v>524.69786302938542</v>
      </c>
      <c r="W27" s="16">
        <f t="shared" si="9"/>
        <v>525.24896116362788</v>
      </c>
      <c r="X27" s="16">
        <f t="shared" si="9"/>
        <v>525.77192998775695</v>
      </c>
      <c r="Y27" s="16">
        <f t="shared" si="9"/>
        <v>526.26823041743569</v>
      </c>
      <c r="Z27" s="2"/>
      <c r="AA27" s="2"/>
    </row>
    <row r="28" spans="1:27">
      <c r="A28" s="2" t="s">
        <v>167</v>
      </c>
      <c r="B28" s="17">
        <f t="shared" ref="B28:Y28" si="10">(B13-B15+B16)/B13</f>
        <v>0.97565000000000002</v>
      </c>
      <c r="C28" s="17">
        <f t="shared" si="10"/>
        <v>0.97558966450931195</v>
      </c>
      <c r="D28" s="17">
        <f t="shared" si="10"/>
        <v>0.97554126135782526</v>
      </c>
      <c r="E28" s="17">
        <f t="shared" si="10"/>
        <v>0.97550166873775235</v>
      </c>
      <c r="F28" s="17">
        <f t="shared" si="10"/>
        <v>0.97546876493062296</v>
      </c>
      <c r="G28" s="17">
        <f t="shared" si="10"/>
        <v>0.97544105742451914</v>
      </c>
      <c r="H28" s="17">
        <f t="shared" si="10"/>
        <v>0.97541746569109034</v>
      </c>
      <c r="I28" s="17">
        <f t="shared" si="10"/>
        <v>0.97539718814703957</v>
      </c>
      <c r="J28" s="17">
        <f t="shared" si="10"/>
        <v>0.97537961754646341</v>
      </c>
      <c r="K28" s="17">
        <f t="shared" si="10"/>
        <v>0.9753642854117256</v>
      </c>
      <c r="L28" s="17">
        <f t="shared" si="10"/>
        <v>0.97535082450455912</v>
      </c>
      <c r="M28" s="17">
        <f t="shared" si="10"/>
        <v>0.97533894285537637</v>
      </c>
      <c r="N28" s="17">
        <f t="shared" si="10"/>
        <v>0.97532840540055177</v>
      </c>
      <c r="O28" s="17">
        <f t="shared" si="10"/>
        <v>0.97531902074853205</v>
      </c>
      <c r="P28" s="17">
        <f t="shared" si="10"/>
        <v>0.97531063147780173</v>
      </c>
      <c r="Q28" s="17">
        <f t="shared" si="10"/>
        <v>0.97530310691380506</v>
      </c>
      <c r="R28" s="17">
        <f t="shared" si="10"/>
        <v>0.97529633767598345</v>
      </c>
      <c r="S28" s="17">
        <f t="shared" si="10"/>
        <v>0.97529023150862504</v>
      </c>
      <c r="T28" s="17">
        <f t="shared" si="10"/>
        <v>0.9752847100561387</v>
      </c>
      <c r="U28" s="17">
        <f t="shared" si="10"/>
        <v>0.97527970634215833</v>
      </c>
      <c r="V28" s="17">
        <f t="shared" si="10"/>
        <v>0.97527516277946968</v>
      </c>
      <c r="W28" s="17">
        <f t="shared" si="10"/>
        <v>0.97527102958469603</v>
      </c>
      <c r="X28" s="17">
        <f t="shared" si="10"/>
        <v>0.97526726350477122</v>
      </c>
      <c r="Y28" s="17">
        <f t="shared" si="10"/>
        <v>0.97526382678585222</v>
      </c>
      <c r="Z28" s="2"/>
      <c r="AA28" s="2"/>
    </row>
    <row r="29" spans="1:27">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spans="1:27">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spans="1:27">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spans="1:27">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spans="1:27">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spans="1:27">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spans="1:27">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c r="A80" s="2"/>
      <c r="B80" s="2"/>
      <c r="C80" s="2"/>
      <c r="D80" s="2"/>
      <c r="E80" s="2"/>
      <c r="F80" s="2"/>
      <c r="G80" s="2"/>
      <c r="H80" s="2"/>
      <c r="I80" s="2"/>
      <c r="J80" s="2"/>
      <c r="K80" s="2"/>
      <c r="L80" s="2"/>
      <c r="M80" s="2"/>
      <c r="N80" s="2"/>
      <c r="O80" s="2"/>
      <c r="P80" s="2"/>
      <c r="Q80" s="2"/>
      <c r="R80" s="2"/>
      <c r="S80" s="2"/>
      <c r="T80" s="2"/>
      <c r="U80" s="2"/>
      <c r="V80" s="2"/>
      <c r="W80" s="2"/>
      <c r="X80" s="2"/>
      <c r="Y80" s="2"/>
      <c r="Z80" s="2"/>
      <c r="AA80" s="2"/>
    </row>
  </sheetData>
  <mergeCells count="2">
    <mergeCell ref="A2:Y2"/>
    <mergeCell ref="A1:Y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80"/>
  <sheetViews>
    <sheetView showGridLines="0" workbookViewId="0">
      <selection sqref="A1:Y1"/>
    </sheetView>
  </sheetViews>
  <sheetFormatPr defaultRowHeight="13.8"/>
  <cols>
    <col min="1" max="1" width="34" customWidth="1"/>
    <col min="2" max="25" width="13" customWidth="1"/>
  </cols>
  <sheetData>
    <row r="1" spans="1:27">
      <c r="A1" s="55" t="s">
        <v>168</v>
      </c>
      <c r="B1" s="56"/>
      <c r="C1" s="56"/>
      <c r="D1" s="56"/>
      <c r="E1" s="56"/>
      <c r="F1" s="56"/>
      <c r="G1" s="56"/>
      <c r="H1" s="56"/>
      <c r="I1" s="56"/>
      <c r="J1" s="56"/>
      <c r="K1" s="56"/>
      <c r="L1" s="56"/>
      <c r="M1" s="56"/>
      <c r="N1" s="56"/>
      <c r="O1" s="56"/>
      <c r="P1" s="56"/>
      <c r="Q1" s="56"/>
      <c r="R1" s="56"/>
      <c r="S1" s="56"/>
      <c r="T1" s="56"/>
      <c r="U1" s="56"/>
      <c r="V1" s="56"/>
      <c r="W1" s="56"/>
      <c r="X1" s="56"/>
      <c r="Y1" s="56"/>
      <c r="Z1" s="2"/>
      <c r="AA1" s="2"/>
    </row>
    <row r="2" spans="1:27">
      <c r="A2" s="59" t="s">
        <v>169</v>
      </c>
      <c r="B2" s="56"/>
      <c r="C2" s="56"/>
      <c r="D2" s="56"/>
      <c r="E2" s="56"/>
      <c r="F2" s="56"/>
      <c r="G2" s="56"/>
      <c r="H2" s="56"/>
      <c r="I2" s="56"/>
      <c r="J2" s="56"/>
      <c r="K2" s="56"/>
      <c r="L2" s="56"/>
      <c r="M2" s="56"/>
      <c r="N2" s="56"/>
      <c r="O2" s="56"/>
      <c r="P2" s="56"/>
      <c r="Q2" s="56"/>
      <c r="R2" s="56"/>
      <c r="S2" s="56"/>
      <c r="T2" s="56"/>
      <c r="U2" s="56"/>
      <c r="V2" s="56"/>
      <c r="W2" s="56"/>
      <c r="X2" s="56"/>
      <c r="Y2" s="56"/>
      <c r="Z2" s="2"/>
      <c r="AA2" s="2"/>
    </row>
    <row r="3" spans="1:27">
      <c r="A3" s="2"/>
      <c r="B3" s="2"/>
      <c r="C3" s="2"/>
      <c r="D3" s="2"/>
      <c r="E3" s="2"/>
      <c r="F3" s="2"/>
      <c r="G3" s="2"/>
      <c r="H3" s="2"/>
      <c r="I3" s="2"/>
      <c r="J3" s="2"/>
      <c r="K3" s="2"/>
      <c r="L3" s="2"/>
      <c r="M3" s="2"/>
      <c r="N3" s="2"/>
      <c r="O3" s="2"/>
      <c r="P3" s="2"/>
      <c r="Q3" s="2"/>
      <c r="R3" s="2"/>
      <c r="S3" s="2"/>
      <c r="T3" s="2"/>
      <c r="U3" s="2"/>
      <c r="V3" s="2"/>
      <c r="W3" s="2"/>
      <c r="X3" s="2"/>
      <c r="Y3" s="2"/>
      <c r="Z3" s="2"/>
      <c r="AA3" s="2"/>
    </row>
    <row r="4" spans="1:27">
      <c r="A4" s="1" t="s">
        <v>121</v>
      </c>
      <c r="B4" s="1" t="s">
        <v>122</v>
      </c>
      <c r="C4" s="1" t="s">
        <v>123</v>
      </c>
      <c r="D4" s="1" t="s">
        <v>124</v>
      </c>
      <c r="E4" s="1" t="s">
        <v>125</v>
      </c>
      <c r="F4" s="1" t="s">
        <v>126</v>
      </c>
      <c r="G4" s="1" t="s">
        <v>127</v>
      </c>
      <c r="H4" s="1" t="s">
        <v>128</v>
      </c>
      <c r="I4" s="1" t="s">
        <v>129</v>
      </c>
      <c r="J4" s="1" t="s">
        <v>130</v>
      </c>
      <c r="K4" s="1" t="s">
        <v>131</v>
      </c>
      <c r="L4" s="1" t="s">
        <v>132</v>
      </c>
      <c r="M4" s="1" t="s">
        <v>133</v>
      </c>
      <c r="N4" s="1" t="s">
        <v>134</v>
      </c>
      <c r="O4" s="1" t="s">
        <v>135</v>
      </c>
      <c r="P4" s="1" t="s">
        <v>136</v>
      </c>
      <c r="Q4" s="1" t="s">
        <v>137</v>
      </c>
      <c r="R4" s="1" t="s">
        <v>138</v>
      </c>
      <c r="S4" s="1" t="s">
        <v>139</v>
      </c>
      <c r="T4" s="1" t="s">
        <v>140</v>
      </c>
      <c r="U4" s="1" t="s">
        <v>141</v>
      </c>
      <c r="V4" s="1" t="s">
        <v>142</v>
      </c>
      <c r="W4" s="1" t="s">
        <v>143</v>
      </c>
      <c r="X4" s="1" t="s">
        <v>144</v>
      </c>
      <c r="Y4" s="1" t="s">
        <v>145</v>
      </c>
      <c r="Z4" s="2"/>
      <c r="AA4" s="2"/>
    </row>
    <row r="5" spans="1:27">
      <c r="A5" s="5" t="s">
        <v>170</v>
      </c>
      <c r="B5" s="5"/>
      <c r="C5" s="5"/>
      <c r="D5" s="5"/>
      <c r="E5" s="5"/>
      <c r="F5" s="5"/>
      <c r="G5" s="5"/>
      <c r="H5" s="5"/>
      <c r="I5" s="5"/>
      <c r="J5" s="5"/>
      <c r="K5" s="5"/>
      <c r="L5" s="5"/>
      <c r="M5" s="5"/>
      <c r="N5" s="5"/>
      <c r="O5" s="5"/>
      <c r="P5" s="5"/>
      <c r="Q5" s="5"/>
      <c r="R5" s="5"/>
      <c r="S5" s="5"/>
      <c r="T5" s="5"/>
      <c r="U5" s="5"/>
      <c r="V5" s="5"/>
      <c r="W5" s="5"/>
      <c r="X5" s="5"/>
      <c r="Y5" s="5"/>
      <c r="Z5" s="2"/>
      <c r="AA5" s="2"/>
    </row>
    <row r="6" spans="1:27">
      <c r="A6" s="2" t="s">
        <v>171</v>
      </c>
      <c r="B6" s="16">
        <f>'Revenue Model'!B21</f>
        <v>26695.625</v>
      </c>
      <c r="C6" s="16">
        <f>'Revenue Model'!C21</f>
        <v>30144.730031250001</v>
      </c>
      <c r="D6" s="16">
        <f>'Revenue Model'!D21</f>
        <v>33713.115070964064</v>
      </c>
      <c r="E6" s="16">
        <f>'Revenue Model'!E21</f>
        <v>37408.081476929321</v>
      </c>
      <c r="F6" s="16">
        <f>'Revenue Model'!F21</f>
        <v>41237.26204028455</v>
      </c>
      <c r="G6" s="16">
        <f>'Revenue Model'!G21</f>
        <v>45208.638403096396</v>
      </c>
      <c r="H6" s="16">
        <f>'Revenue Model'!H21</f>
        <v>49330.559325539769</v>
      </c>
      <c r="I6" s="16">
        <f>'Revenue Model'!I21</f>
        <v>53611.759845697758</v>
      </c>
      <c r="J6" s="16">
        <f>'Revenue Model'!J21</f>
        <v>58061.381377133541</v>
      </c>
      <c r="K6" s="16">
        <f>'Revenue Model'!K21</f>
        <v>62688.99279163147</v>
      </c>
      <c r="L6" s="16">
        <f>'Revenue Model'!L21</f>
        <v>67504.612536861416</v>
      </c>
      <c r="M6" s="16">
        <f>'Revenue Model'!M21</f>
        <v>72518.731841195811</v>
      </c>
      <c r="N6" s="16">
        <f>'Revenue Model'!N21</f>
        <v>77742.33906050802</v>
      </c>
      <c r="O6" s="16">
        <f>'Revenue Model'!O21</f>
        <v>83186.945224510433</v>
      </c>
      <c r="P6" s="16">
        <f>'Revenue Model'!P21</f>
        <v>88864.6108430569</v>
      </c>
      <c r="Q6" s="16">
        <f>'Revenue Model'!Q21</f>
        <v>94787.974035844061</v>
      </c>
      <c r="R6" s="16">
        <f>'Revenue Model'!R21</f>
        <v>100970.28005210712</v>
      </c>
      <c r="S6" s="16">
        <f>'Revenue Model'!S21</f>
        <v>107425.41225022438</v>
      </c>
      <c r="T6" s="16">
        <f>'Revenue Model'!T21</f>
        <v>114167.92461063041</v>
      </c>
      <c r="U6" s="16">
        <f>'Revenue Model'!U21</f>
        <v>121213.07585909715</v>
      </c>
      <c r="V6" s="16">
        <f>'Revenue Model'!V21</f>
        <v>128576.86528128618</v>
      </c>
      <c r="W6" s="16">
        <f>'Revenue Model'!W21</f>
        <v>136276.07031350944</v>
      </c>
      <c r="X6" s="16">
        <f>'Revenue Model'!X21</f>
        <v>144328.28599887463</v>
      </c>
      <c r="Y6" s="16">
        <f>'Revenue Model'!Y21</f>
        <v>152751.96640244042</v>
      </c>
      <c r="Z6" s="2"/>
      <c r="AA6" s="2"/>
    </row>
    <row r="7" spans="1:27">
      <c r="A7" s="2" t="s">
        <v>172</v>
      </c>
      <c r="B7" s="16">
        <f>B6*Assumptions!$C$24</f>
        <v>2135.65</v>
      </c>
      <c r="C7" s="16">
        <f>C6*Assumptions!$C$24</f>
        <v>2411.5784025000003</v>
      </c>
      <c r="D7" s="16">
        <f>D6*Assumptions!$C$24</f>
        <v>2697.049205677125</v>
      </c>
      <c r="E7" s="16">
        <f>E6*Assumptions!$C$24</f>
        <v>2992.6465181543458</v>
      </c>
      <c r="F7" s="16">
        <f>F6*Assumptions!$C$24</f>
        <v>3298.9809632227639</v>
      </c>
      <c r="G7" s="16">
        <f>G6*Assumptions!$C$24</f>
        <v>3616.6910722477119</v>
      </c>
      <c r="H7" s="16">
        <f>H6*Assumptions!$C$24</f>
        <v>3946.4447460431816</v>
      </c>
      <c r="I7" s="16">
        <f>I6*Assumptions!$C$24</f>
        <v>4288.9407876558207</v>
      </c>
      <c r="J7" s="16">
        <f>J6*Assumptions!$C$24</f>
        <v>4644.9105101706837</v>
      </c>
      <c r="K7" s="16">
        <f>K6*Assumptions!$C$24</f>
        <v>5015.1194233305177</v>
      </c>
      <c r="L7" s="16">
        <f>L6*Assumptions!$C$24</f>
        <v>5400.3690029489135</v>
      </c>
      <c r="M7" s="16">
        <f>M6*Assumptions!$C$24</f>
        <v>5801.498547295665</v>
      </c>
      <c r="N7" s="16">
        <f>N6*Assumptions!$C$24</f>
        <v>6219.3871248406422</v>
      </c>
      <c r="O7" s="16">
        <f>O6*Assumptions!$C$24</f>
        <v>6654.9556179608344</v>
      </c>
      <c r="P7" s="16">
        <f>P6*Assumptions!$C$24</f>
        <v>7109.1688674445522</v>
      </c>
      <c r="Q7" s="16">
        <f>Q6*Assumptions!$C$24</f>
        <v>7583.0379228675247</v>
      </c>
      <c r="R7" s="16">
        <f>R6*Assumptions!$C$24</f>
        <v>8077.62240416857</v>
      </c>
      <c r="S7" s="16">
        <f>S6*Assumptions!$C$24</f>
        <v>8594.0329800179516</v>
      </c>
      <c r="T7" s="16">
        <f>T6*Assumptions!$C$24</f>
        <v>9133.4339688504333</v>
      </c>
      <c r="U7" s="16">
        <f>U6*Assumptions!$C$24</f>
        <v>9697.0460687277719</v>
      </c>
      <c r="V7" s="16">
        <f>V6*Assumptions!$C$24</f>
        <v>10286.149222502894</v>
      </c>
      <c r="W7" s="16">
        <f>W6*Assumptions!$C$24</f>
        <v>10902.085625080756</v>
      </c>
      <c r="X7" s="16">
        <f>X6*Assumptions!$C$24</f>
        <v>11546.262879909971</v>
      </c>
      <c r="Y7" s="16">
        <f>Y6*Assumptions!$C$24</f>
        <v>12220.157312195233</v>
      </c>
      <c r="Z7" s="2"/>
      <c r="AA7" s="2"/>
    </row>
    <row r="8" spans="1:27">
      <c r="A8" s="2" t="s">
        <v>173</v>
      </c>
      <c r="B8" s="16">
        <f>B6*Assumptions!$C$25</f>
        <v>800.86874999999998</v>
      </c>
      <c r="C8" s="16">
        <f>C6*Assumptions!$C$25</f>
        <v>904.34190093749999</v>
      </c>
      <c r="D8" s="16">
        <f>D6*Assumptions!$C$25</f>
        <v>1011.3934521289219</v>
      </c>
      <c r="E8" s="16">
        <f>E6*Assumptions!$C$25</f>
        <v>1122.2424443078796</v>
      </c>
      <c r="F8" s="16">
        <f>F6*Assumptions!$C$25</f>
        <v>1237.1178612085364</v>
      </c>
      <c r="G8" s="16">
        <f>G6*Assumptions!$C$25</f>
        <v>1356.2591520928918</v>
      </c>
      <c r="H8" s="16">
        <f>H6*Assumptions!$C$25</f>
        <v>1479.916779766193</v>
      </c>
      <c r="I8" s="16">
        <f>I6*Assumptions!$C$25</f>
        <v>1608.3527953709327</v>
      </c>
      <c r="J8" s="16">
        <f>J6*Assumptions!$C$25</f>
        <v>1741.8414413140063</v>
      </c>
      <c r="K8" s="16">
        <f>K6*Assumptions!$C$25</f>
        <v>1880.6697837489439</v>
      </c>
      <c r="L8" s="16">
        <f>L6*Assumptions!$C$25</f>
        <v>2025.1383761058423</v>
      </c>
      <c r="M8" s="16">
        <f>M6*Assumptions!$C$25</f>
        <v>2175.5619552358744</v>
      </c>
      <c r="N8" s="16">
        <f>N6*Assumptions!$C$25</f>
        <v>2332.2701718152407</v>
      </c>
      <c r="O8" s="16">
        <f>O6*Assumptions!$C$25</f>
        <v>2495.608356735313</v>
      </c>
      <c r="P8" s="16">
        <f>P6*Assumptions!$C$25</f>
        <v>2665.9383252917069</v>
      </c>
      <c r="Q8" s="16">
        <f>Q6*Assumptions!$C$25</f>
        <v>2843.6392210753215</v>
      </c>
      <c r="R8" s="16">
        <f>R6*Assumptions!$C$25</f>
        <v>3029.1084015632136</v>
      </c>
      <c r="S8" s="16">
        <f>S6*Assumptions!$C$25</f>
        <v>3222.7623675067316</v>
      </c>
      <c r="T8" s="16">
        <f>T6*Assumptions!$C$25</f>
        <v>3425.037738318912</v>
      </c>
      <c r="U8" s="16">
        <f>U6*Assumptions!$C$25</f>
        <v>3636.3922757729147</v>
      </c>
      <c r="V8" s="16">
        <f>V6*Assumptions!$C$25</f>
        <v>3857.3059584385855</v>
      </c>
      <c r="W8" s="16">
        <f>W6*Assumptions!$C$25</f>
        <v>4088.2821094052829</v>
      </c>
      <c r="X8" s="16">
        <f>X6*Assumptions!$C$25</f>
        <v>4329.8485799662385</v>
      </c>
      <c r="Y8" s="16">
        <f>Y6*Assumptions!$C$25</f>
        <v>4582.5589920732127</v>
      </c>
      <c r="Z8" s="2"/>
      <c r="AA8" s="2"/>
    </row>
    <row r="9" spans="1:27">
      <c r="A9" s="2" t="s">
        <v>174</v>
      </c>
      <c r="B9" s="16">
        <f>B6*Assumptions!$C$26</f>
        <v>400.43437499999999</v>
      </c>
      <c r="C9" s="16">
        <f>C6*Assumptions!$C$26</f>
        <v>452.17095046874999</v>
      </c>
      <c r="D9" s="16">
        <f>D6*Assumptions!$C$26</f>
        <v>505.69672606446096</v>
      </c>
      <c r="E9" s="16">
        <f>E6*Assumptions!$C$26</f>
        <v>561.12122215393981</v>
      </c>
      <c r="F9" s="16">
        <f>F6*Assumptions!$C$26</f>
        <v>618.5589306042682</v>
      </c>
      <c r="G9" s="16">
        <f>G6*Assumptions!$C$26</f>
        <v>678.12957604644589</v>
      </c>
      <c r="H9" s="16">
        <f>H6*Assumptions!$C$26</f>
        <v>739.95838988309652</v>
      </c>
      <c r="I9" s="16">
        <f>I6*Assumptions!$C$26</f>
        <v>804.17639768546633</v>
      </c>
      <c r="J9" s="16">
        <f>J6*Assumptions!$C$26</f>
        <v>870.92072065700313</v>
      </c>
      <c r="K9" s="16">
        <f>K6*Assumptions!$C$26</f>
        <v>940.33489187447196</v>
      </c>
      <c r="L9" s="16">
        <f>L6*Assumptions!$C$26</f>
        <v>1012.5691880529212</v>
      </c>
      <c r="M9" s="16">
        <f>M6*Assumptions!$C$26</f>
        <v>1087.7809776179372</v>
      </c>
      <c r="N9" s="16">
        <f>N6*Assumptions!$C$26</f>
        <v>1166.1350859076204</v>
      </c>
      <c r="O9" s="16">
        <f>O6*Assumptions!$C$26</f>
        <v>1247.8041783676565</v>
      </c>
      <c r="P9" s="16">
        <f>P6*Assumptions!$C$26</f>
        <v>1332.9691626458534</v>
      </c>
      <c r="Q9" s="16">
        <f>Q6*Assumptions!$C$26</f>
        <v>1421.8196105376608</v>
      </c>
      <c r="R9" s="16">
        <f>R6*Assumptions!$C$26</f>
        <v>1514.5542007816068</v>
      </c>
      <c r="S9" s="16">
        <f>S6*Assumptions!$C$26</f>
        <v>1611.3811837533658</v>
      </c>
      <c r="T9" s="16">
        <f>T6*Assumptions!$C$26</f>
        <v>1712.518869159456</v>
      </c>
      <c r="U9" s="16">
        <f>U6*Assumptions!$C$26</f>
        <v>1818.1961378864573</v>
      </c>
      <c r="V9" s="16">
        <f>V6*Assumptions!$C$26</f>
        <v>1928.6529792192928</v>
      </c>
      <c r="W9" s="16">
        <f>W6*Assumptions!$C$26</f>
        <v>2044.1410547026414</v>
      </c>
      <c r="X9" s="16">
        <f>X6*Assumptions!$C$26</f>
        <v>2164.9242899831193</v>
      </c>
      <c r="Y9" s="16">
        <f>Y6*Assumptions!$C$26</f>
        <v>2291.2794960366064</v>
      </c>
      <c r="Z9" s="2"/>
      <c r="AA9" s="2"/>
    </row>
    <row r="10" spans="1:27" ht="27.6">
      <c r="A10" s="2" t="s">
        <v>175</v>
      </c>
      <c r="B10" s="16">
        <f>MAX(0,B6*(1-Assumptions!$C$23)-SUM(B7:B9))</f>
        <v>2536.0843749999995</v>
      </c>
      <c r="C10" s="16">
        <f>MAX(0,C6*(1-Assumptions!$C$23)-SUM(C7:C9))</f>
        <v>2863.7493529687486</v>
      </c>
      <c r="D10" s="16">
        <f>MAX(0,D6*(1-Assumptions!$C$23)-SUM(D7:D9))</f>
        <v>3202.7459317415851</v>
      </c>
      <c r="E10" s="16">
        <f>MAX(0,E6*(1-Assumptions!$C$23)-SUM(E7:E9))</f>
        <v>3553.7677403082853</v>
      </c>
      <c r="F10" s="16">
        <f>MAX(0,F6*(1-Assumptions!$C$23)-SUM(F7:F9))</f>
        <v>3917.5398938270318</v>
      </c>
      <c r="G10" s="16">
        <f>MAX(0,G6*(1-Assumptions!$C$23)-SUM(G7:G9))</f>
        <v>4294.8206482941569</v>
      </c>
      <c r="H10" s="16">
        <f>MAX(0,H6*(1-Assumptions!$C$23)-SUM(H7:H9))</f>
        <v>4686.4031359262772</v>
      </c>
      <c r="I10" s="16">
        <f>MAX(0,I6*(1-Assumptions!$C$23)-SUM(I7:I9))</f>
        <v>5093.1171853412852</v>
      </c>
      <c r="J10" s="16">
        <f>MAX(0,J6*(1-Assumptions!$C$23)-SUM(J7:J9))</f>
        <v>5515.8312308276854</v>
      </c>
      <c r="K10" s="16">
        <f>MAX(0,K6*(1-Assumptions!$C$23)-SUM(K7:K9))</f>
        <v>5955.4543152049873</v>
      </c>
      <c r="L10" s="16">
        <f>MAX(0,L6*(1-Assumptions!$C$23)-SUM(L7:L9))</f>
        <v>6412.9381910018328</v>
      </c>
      <c r="M10" s="16">
        <f>MAX(0,M6*(1-Assumptions!$C$23)-SUM(M7:M9))</f>
        <v>6889.2795249135997</v>
      </c>
      <c r="N10" s="16">
        <f>MAX(0,N6*(1-Assumptions!$C$23)-SUM(N7:N9))</f>
        <v>7385.5222107482587</v>
      </c>
      <c r="O10" s="16">
        <f>MAX(0,O6*(1-Assumptions!$C$23)-SUM(O7:O9))</f>
        <v>7902.7597963284879</v>
      </c>
      <c r="P10" s="16">
        <f>MAX(0,P6*(1-Assumptions!$C$23)-SUM(P7:P9))</f>
        <v>8442.138030090402</v>
      </c>
      <c r="Q10" s="16">
        <f>MAX(0,Q6*(1-Assumptions!$C$23)-SUM(Q7:Q9))</f>
        <v>9004.857533405182</v>
      </c>
      <c r="R10" s="16">
        <f>MAX(0,R6*(1-Assumptions!$C$23)-SUM(R7:R9))</f>
        <v>9592.176604950173</v>
      </c>
      <c r="S10" s="16">
        <f>MAX(0,S6*(1-Assumptions!$C$23)-SUM(S7:S9))</f>
        <v>10205.414163771315</v>
      </c>
      <c r="T10" s="16">
        <f>MAX(0,T6*(1-Assumptions!$C$23)-SUM(T7:T9))</f>
        <v>10845.952838009885</v>
      </c>
      <c r="U10" s="16">
        <f>MAX(0,U6*(1-Assumptions!$C$23)-SUM(U7:U9))</f>
        <v>11515.242206614228</v>
      </c>
      <c r="V10" s="16">
        <f>MAX(0,V6*(1-Assumptions!$C$23)-SUM(V7:V9))</f>
        <v>12214.802201722185</v>
      </c>
      <c r="W10" s="16">
        <f>MAX(0,W6*(1-Assumptions!$C$23)-SUM(W7:W9))</f>
        <v>12946.226679783395</v>
      </c>
      <c r="X10" s="16">
        <f>MAX(0,X6*(1-Assumptions!$C$23)-SUM(X7:X9))</f>
        <v>13711.187169893088</v>
      </c>
      <c r="Y10" s="16">
        <f>MAX(0,Y6*(1-Assumptions!$C$23)-SUM(Y7:Y9))</f>
        <v>14511.436808231832</v>
      </c>
      <c r="Z10" s="2"/>
      <c r="AA10" s="2"/>
    </row>
    <row r="11" spans="1:27">
      <c r="A11" s="2" t="s">
        <v>176</v>
      </c>
      <c r="B11" s="16">
        <f t="shared" ref="B11:Y11" si="0">SUM(B7:B10)</f>
        <v>5873.0374999999995</v>
      </c>
      <c r="C11" s="16">
        <f t="shared" si="0"/>
        <v>6631.8406068749991</v>
      </c>
      <c r="D11" s="16">
        <f t="shared" si="0"/>
        <v>7416.8853156120931</v>
      </c>
      <c r="E11" s="16">
        <f t="shared" si="0"/>
        <v>8229.7779249244504</v>
      </c>
      <c r="F11" s="16">
        <f t="shared" si="0"/>
        <v>9072.1976488626005</v>
      </c>
      <c r="G11" s="16">
        <f t="shared" si="0"/>
        <v>9945.9004486812064</v>
      </c>
      <c r="H11" s="16">
        <f t="shared" si="0"/>
        <v>10852.723051618748</v>
      </c>
      <c r="I11" s="16">
        <f t="shared" si="0"/>
        <v>11794.587166053505</v>
      </c>
      <c r="J11" s="16">
        <f t="shared" si="0"/>
        <v>12773.503902969378</v>
      </c>
      <c r="K11" s="16">
        <f t="shared" si="0"/>
        <v>13791.578414158921</v>
      </c>
      <c r="L11" s="16">
        <f t="shared" si="0"/>
        <v>14851.01475810951</v>
      </c>
      <c r="M11" s="16">
        <f t="shared" si="0"/>
        <v>15954.121005063076</v>
      </c>
      <c r="N11" s="16">
        <f t="shared" si="0"/>
        <v>17103.314593311763</v>
      </c>
      <c r="O11" s="16">
        <f t="shared" si="0"/>
        <v>18301.127949392292</v>
      </c>
      <c r="P11" s="16">
        <f t="shared" si="0"/>
        <v>19550.214385472515</v>
      </c>
      <c r="Q11" s="16">
        <f t="shared" si="0"/>
        <v>20853.35428788569</v>
      </c>
      <c r="R11" s="16">
        <f t="shared" si="0"/>
        <v>22213.461611463565</v>
      </c>
      <c r="S11" s="16">
        <f t="shared" si="0"/>
        <v>23633.590695049363</v>
      </c>
      <c r="T11" s="16">
        <f t="shared" si="0"/>
        <v>25116.943414338686</v>
      </c>
      <c r="U11" s="16">
        <f t="shared" si="0"/>
        <v>26666.876689001372</v>
      </c>
      <c r="V11" s="16">
        <f t="shared" si="0"/>
        <v>28286.910361882958</v>
      </c>
      <c r="W11" s="16">
        <f t="shared" si="0"/>
        <v>29980.735468972074</v>
      </c>
      <c r="X11" s="16">
        <f t="shared" si="0"/>
        <v>31752.222919752418</v>
      </c>
      <c r="Y11" s="16">
        <f t="shared" si="0"/>
        <v>33605.432608536888</v>
      </c>
      <c r="Z11" s="2"/>
      <c r="AA11" s="2"/>
    </row>
    <row r="12" spans="1:27">
      <c r="A12" s="2" t="s">
        <v>177</v>
      </c>
      <c r="B12" s="16">
        <f t="shared" ref="B12:Y12" si="1">B6-B11</f>
        <v>20822.587500000001</v>
      </c>
      <c r="C12" s="16">
        <f t="shared" si="1"/>
        <v>23512.889424375004</v>
      </c>
      <c r="D12" s="16">
        <f t="shared" si="1"/>
        <v>26296.229755351971</v>
      </c>
      <c r="E12" s="16">
        <f t="shared" si="1"/>
        <v>29178.303552004872</v>
      </c>
      <c r="F12" s="16">
        <f t="shared" si="1"/>
        <v>32165.064391421947</v>
      </c>
      <c r="G12" s="16">
        <f t="shared" si="1"/>
        <v>35262.737954415192</v>
      </c>
      <c r="H12" s="16">
        <f t="shared" si="1"/>
        <v>38477.836273921021</v>
      </c>
      <c r="I12" s="16">
        <f t="shared" si="1"/>
        <v>41817.172679644253</v>
      </c>
      <c r="J12" s="16">
        <f t="shared" si="1"/>
        <v>45287.877474164161</v>
      </c>
      <c r="K12" s="16">
        <f t="shared" si="1"/>
        <v>48897.414377472553</v>
      </c>
      <c r="L12" s="16">
        <f t="shared" si="1"/>
        <v>52653.597778751908</v>
      </c>
      <c r="M12" s="16">
        <f t="shared" si="1"/>
        <v>56564.610836132735</v>
      </c>
      <c r="N12" s="16">
        <f t="shared" si="1"/>
        <v>60639.024467196257</v>
      </c>
      <c r="O12" s="16">
        <f t="shared" si="1"/>
        <v>64885.817275118141</v>
      </c>
      <c r="P12" s="16">
        <f t="shared" si="1"/>
        <v>69314.396457584386</v>
      </c>
      <c r="Q12" s="16">
        <f t="shared" si="1"/>
        <v>73934.619747958379</v>
      </c>
      <c r="R12" s="16">
        <f t="shared" si="1"/>
        <v>78756.818440643547</v>
      </c>
      <c r="S12" s="16">
        <f t="shared" si="1"/>
        <v>83791.821555175018</v>
      </c>
      <c r="T12" s="16">
        <f t="shared" si="1"/>
        <v>89050.981196291716</v>
      </c>
      <c r="U12" s="16">
        <f t="shared" si="1"/>
        <v>94546.199170095788</v>
      </c>
      <c r="V12" s="16">
        <f t="shared" si="1"/>
        <v>100289.95491940323</v>
      </c>
      <c r="W12" s="16">
        <f t="shared" si="1"/>
        <v>106295.33484453737</v>
      </c>
      <c r="X12" s="16">
        <f t="shared" si="1"/>
        <v>112576.06307912222</v>
      </c>
      <c r="Y12" s="16">
        <f t="shared" si="1"/>
        <v>119146.53379390354</v>
      </c>
      <c r="Z12" s="2"/>
      <c r="AA12" s="2"/>
    </row>
    <row r="13" spans="1:27">
      <c r="A13" s="2" t="s">
        <v>178</v>
      </c>
      <c r="B13" s="17">
        <f t="shared" ref="B13:Y13" si="2">B12/B6</f>
        <v>0.78</v>
      </c>
      <c r="C13" s="17">
        <f t="shared" si="2"/>
        <v>0.78000000000000014</v>
      </c>
      <c r="D13" s="17">
        <f t="shared" si="2"/>
        <v>0.78</v>
      </c>
      <c r="E13" s="17">
        <f t="shared" si="2"/>
        <v>0.78</v>
      </c>
      <c r="F13" s="17">
        <f t="shared" si="2"/>
        <v>0.77999999999999992</v>
      </c>
      <c r="G13" s="17">
        <f t="shared" si="2"/>
        <v>0.78</v>
      </c>
      <c r="H13" s="17">
        <f t="shared" si="2"/>
        <v>0.78</v>
      </c>
      <c r="I13" s="17">
        <f t="shared" si="2"/>
        <v>0.78</v>
      </c>
      <c r="J13" s="17">
        <f t="shared" si="2"/>
        <v>0.78</v>
      </c>
      <c r="K13" s="17">
        <f t="shared" si="2"/>
        <v>0.78000000000000014</v>
      </c>
      <c r="L13" s="17">
        <f t="shared" si="2"/>
        <v>0.78</v>
      </c>
      <c r="M13" s="17">
        <f t="shared" si="2"/>
        <v>0.78</v>
      </c>
      <c r="N13" s="17">
        <f t="shared" si="2"/>
        <v>0.78</v>
      </c>
      <c r="O13" s="17">
        <f t="shared" si="2"/>
        <v>0.78</v>
      </c>
      <c r="P13" s="17">
        <f t="shared" si="2"/>
        <v>0.78</v>
      </c>
      <c r="Q13" s="17">
        <f t="shared" si="2"/>
        <v>0.78000000000000014</v>
      </c>
      <c r="R13" s="17">
        <f t="shared" si="2"/>
        <v>0.77999999999999992</v>
      </c>
      <c r="S13" s="17">
        <f t="shared" si="2"/>
        <v>0.78</v>
      </c>
      <c r="T13" s="17">
        <f t="shared" si="2"/>
        <v>0.78</v>
      </c>
      <c r="U13" s="17">
        <f t="shared" si="2"/>
        <v>0.78</v>
      </c>
      <c r="V13" s="17">
        <f t="shared" si="2"/>
        <v>0.78</v>
      </c>
      <c r="W13" s="17">
        <f t="shared" si="2"/>
        <v>0.78</v>
      </c>
      <c r="X13" s="17">
        <f t="shared" si="2"/>
        <v>0.78</v>
      </c>
      <c r="Y13" s="17">
        <f t="shared" si="2"/>
        <v>0.78</v>
      </c>
      <c r="Z13" s="2"/>
      <c r="AA13" s="2"/>
    </row>
    <row r="14" spans="1:27">
      <c r="A14" s="2"/>
      <c r="B14" s="17"/>
      <c r="C14" s="17"/>
      <c r="D14" s="17"/>
      <c r="E14" s="17"/>
      <c r="F14" s="17"/>
      <c r="G14" s="17"/>
      <c r="H14" s="17"/>
      <c r="I14" s="17"/>
      <c r="J14" s="17"/>
      <c r="K14" s="17"/>
      <c r="L14" s="17"/>
      <c r="M14" s="17"/>
      <c r="N14" s="17"/>
      <c r="O14" s="17"/>
      <c r="P14" s="17"/>
      <c r="Q14" s="17"/>
      <c r="R14" s="17"/>
      <c r="S14" s="17"/>
      <c r="T14" s="17"/>
      <c r="U14" s="17"/>
      <c r="V14" s="17"/>
      <c r="W14" s="17"/>
      <c r="X14" s="17"/>
      <c r="Y14" s="17"/>
      <c r="Z14" s="2"/>
      <c r="AA14" s="2"/>
    </row>
    <row r="15" spans="1:27">
      <c r="A15" s="5" t="s">
        <v>179</v>
      </c>
      <c r="B15" s="18"/>
      <c r="C15" s="18"/>
      <c r="D15" s="18"/>
      <c r="E15" s="18"/>
      <c r="F15" s="18"/>
      <c r="G15" s="18"/>
      <c r="H15" s="18"/>
      <c r="I15" s="18"/>
      <c r="J15" s="18"/>
      <c r="K15" s="18"/>
      <c r="L15" s="18"/>
      <c r="M15" s="18"/>
      <c r="N15" s="18"/>
      <c r="O15" s="18"/>
      <c r="P15" s="18"/>
      <c r="Q15" s="18"/>
      <c r="R15" s="18"/>
      <c r="S15" s="18"/>
      <c r="T15" s="18"/>
      <c r="U15" s="18"/>
      <c r="V15" s="18"/>
      <c r="W15" s="18"/>
      <c r="X15" s="18"/>
      <c r="Y15" s="18"/>
      <c r="Z15" s="2"/>
      <c r="AA15" s="2"/>
    </row>
    <row r="16" spans="1:27">
      <c r="A16" s="2" t="s">
        <v>180</v>
      </c>
      <c r="B16" s="17">
        <f>Assumptions!$C$23</f>
        <v>0.78</v>
      </c>
      <c r="C16" s="17">
        <f>Assumptions!$C$23</f>
        <v>0.78</v>
      </c>
      <c r="D16" s="17">
        <f>Assumptions!$C$23</f>
        <v>0.78</v>
      </c>
      <c r="E16" s="17">
        <f>Assumptions!$C$23</f>
        <v>0.78</v>
      </c>
      <c r="F16" s="17">
        <f>Assumptions!$C$23</f>
        <v>0.78</v>
      </c>
      <c r="G16" s="17">
        <f>Assumptions!$C$23</f>
        <v>0.78</v>
      </c>
      <c r="H16" s="17">
        <f>Assumptions!$C$23</f>
        <v>0.78</v>
      </c>
      <c r="I16" s="17">
        <f>Assumptions!$C$23</f>
        <v>0.78</v>
      </c>
      <c r="J16" s="17">
        <f>Assumptions!$C$23</f>
        <v>0.78</v>
      </c>
      <c r="K16" s="17">
        <f>Assumptions!$C$23</f>
        <v>0.78</v>
      </c>
      <c r="L16" s="17">
        <f>Assumptions!$C$23</f>
        <v>0.78</v>
      </c>
      <c r="M16" s="17">
        <f>Assumptions!$C$23</f>
        <v>0.78</v>
      </c>
      <c r="N16" s="17">
        <f>Assumptions!$C$23</f>
        <v>0.78</v>
      </c>
      <c r="O16" s="17">
        <f>Assumptions!$C$23</f>
        <v>0.78</v>
      </c>
      <c r="P16" s="17">
        <f>Assumptions!$C$23</f>
        <v>0.78</v>
      </c>
      <c r="Q16" s="17">
        <f>Assumptions!$C$23</f>
        <v>0.78</v>
      </c>
      <c r="R16" s="17">
        <f>Assumptions!$C$23</f>
        <v>0.78</v>
      </c>
      <c r="S16" s="17">
        <f>Assumptions!$C$23</f>
        <v>0.78</v>
      </c>
      <c r="T16" s="17">
        <f>Assumptions!$C$23</f>
        <v>0.78</v>
      </c>
      <c r="U16" s="17">
        <f>Assumptions!$C$23</f>
        <v>0.78</v>
      </c>
      <c r="V16" s="17">
        <f>Assumptions!$C$23</f>
        <v>0.78</v>
      </c>
      <c r="W16" s="17">
        <f>Assumptions!$C$23</f>
        <v>0.78</v>
      </c>
      <c r="X16" s="17">
        <f>Assumptions!$C$23</f>
        <v>0.78</v>
      </c>
      <c r="Y16" s="17">
        <f>Assumptions!$C$23</f>
        <v>0.78</v>
      </c>
      <c r="Z16" s="2"/>
      <c r="AA16" s="2"/>
    </row>
    <row r="17" spans="1:27">
      <c r="A17" s="2" t="s">
        <v>181</v>
      </c>
      <c r="B17" s="17">
        <f t="shared" ref="B17:Y17" si="3">B13-B16</f>
        <v>0</v>
      </c>
      <c r="C17" s="17">
        <f t="shared" si="3"/>
        <v>0</v>
      </c>
      <c r="D17" s="17">
        <f t="shared" si="3"/>
        <v>0</v>
      </c>
      <c r="E17" s="17">
        <f t="shared" si="3"/>
        <v>0</v>
      </c>
      <c r="F17" s="17">
        <f t="shared" si="3"/>
        <v>0</v>
      </c>
      <c r="G17" s="17">
        <f t="shared" si="3"/>
        <v>0</v>
      </c>
      <c r="H17" s="17">
        <f t="shared" si="3"/>
        <v>0</v>
      </c>
      <c r="I17" s="17">
        <f t="shared" si="3"/>
        <v>0</v>
      </c>
      <c r="J17" s="17">
        <f t="shared" si="3"/>
        <v>0</v>
      </c>
      <c r="K17" s="17">
        <f t="shared" si="3"/>
        <v>0</v>
      </c>
      <c r="L17" s="17">
        <f t="shared" si="3"/>
        <v>0</v>
      </c>
      <c r="M17" s="17">
        <f t="shared" si="3"/>
        <v>0</v>
      </c>
      <c r="N17" s="17">
        <f t="shared" si="3"/>
        <v>0</v>
      </c>
      <c r="O17" s="17">
        <f t="shared" si="3"/>
        <v>0</v>
      </c>
      <c r="P17" s="17">
        <f t="shared" si="3"/>
        <v>0</v>
      </c>
      <c r="Q17" s="17">
        <f t="shared" si="3"/>
        <v>0</v>
      </c>
      <c r="R17" s="17">
        <f t="shared" si="3"/>
        <v>0</v>
      </c>
      <c r="S17" s="17">
        <f t="shared" si="3"/>
        <v>0</v>
      </c>
      <c r="T17" s="17">
        <f t="shared" si="3"/>
        <v>0</v>
      </c>
      <c r="U17" s="17">
        <f t="shared" si="3"/>
        <v>0</v>
      </c>
      <c r="V17" s="17">
        <f t="shared" si="3"/>
        <v>0</v>
      </c>
      <c r="W17" s="17">
        <f t="shared" si="3"/>
        <v>0</v>
      </c>
      <c r="X17" s="17">
        <f t="shared" si="3"/>
        <v>0</v>
      </c>
      <c r="Y17" s="17">
        <f t="shared" si="3"/>
        <v>0</v>
      </c>
      <c r="Z17" s="2"/>
      <c r="AA17" s="2"/>
    </row>
    <row r="18" spans="1:27">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spans="1:27">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spans="1:27">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spans="1:27">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spans="1:27">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spans="1:27">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spans="1:27">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spans="1:27">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spans="1:27">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spans="1: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spans="1:27">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spans="1:27">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spans="1:27">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spans="1:27">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spans="1:27">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spans="1:27">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spans="1:27">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spans="1:27">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c r="A80" s="2"/>
      <c r="B80" s="2"/>
      <c r="C80" s="2"/>
      <c r="D80" s="2"/>
      <c r="E80" s="2"/>
      <c r="F80" s="2"/>
      <c r="G80" s="2"/>
      <c r="H80" s="2"/>
      <c r="I80" s="2"/>
      <c r="J80" s="2"/>
      <c r="K80" s="2"/>
      <c r="L80" s="2"/>
      <c r="M80" s="2"/>
      <c r="N80" s="2"/>
      <c r="O80" s="2"/>
      <c r="P80" s="2"/>
      <c r="Q80" s="2"/>
      <c r="R80" s="2"/>
      <c r="S80" s="2"/>
      <c r="T80" s="2"/>
      <c r="U80" s="2"/>
      <c r="V80" s="2"/>
      <c r="W80" s="2"/>
      <c r="X80" s="2"/>
      <c r="Y80" s="2"/>
      <c r="Z80" s="2"/>
      <c r="AA80" s="2"/>
    </row>
  </sheetData>
  <mergeCells count="2">
    <mergeCell ref="A2:Y2"/>
    <mergeCell ref="A1:Y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80"/>
  <sheetViews>
    <sheetView showGridLines="0" workbookViewId="0">
      <selection sqref="A1:Y1"/>
    </sheetView>
  </sheetViews>
  <sheetFormatPr defaultRowHeight="13.8"/>
  <cols>
    <col min="1" max="1" width="32" customWidth="1"/>
    <col min="2" max="4" width="14" customWidth="1"/>
    <col min="5" max="5" width="22" customWidth="1"/>
    <col min="6" max="25" width="13" customWidth="1"/>
  </cols>
  <sheetData>
    <row r="1" spans="1:27">
      <c r="A1" s="55" t="s">
        <v>182</v>
      </c>
      <c r="B1" s="56"/>
      <c r="C1" s="56"/>
      <c r="D1" s="56"/>
      <c r="E1" s="56"/>
      <c r="F1" s="56"/>
      <c r="G1" s="56"/>
      <c r="H1" s="56"/>
      <c r="I1" s="56"/>
      <c r="J1" s="56"/>
      <c r="K1" s="56"/>
      <c r="L1" s="56"/>
      <c r="M1" s="56"/>
      <c r="N1" s="56"/>
      <c r="O1" s="56"/>
      <c r="P1" s="56"/>
      <c r="Q1" s="56"/>
      <c r="R1" s="56"/>
      <c r="S1" s="56"/>
      <c r="T1" s="56"/>
      <c r="U1" s="56"/>
      <c r="V1" s="56"/>
      <c r="W1" s="56"/>
      <c r="X1" s="56"/>
      <c r="Y1" s="56"/>
      <c r="Z1" s="2"/>
      <c r="AA1" s="2"/>
    </row>
    <row r="2" spans="1:27">
      <c r="A2" s="59" t="s">
        <v>183</v>
      </c>
      <c r="B2" s="56"/>
      <c r="C2" s="56"/>
      <c r="D2" s="56"/>
      <c r="E2" s="56"/>
      <c r="F2" s="56"/>
      <c r="G2" s="56"/>
      <c r="H2" s="56"/>
      <c r="I2" s="56"/>
      <c r="J2" s="56"/>
      <c r="K2" s="56"/>
      <c r="L2" s="56"/>
      <c r="M2" s="56"/>
      <c r="N2" s="56"/>
      <c r="O2" s="56"/>
      <c r="P2" s="56"/>
      <c r="Q2" s="56"/>
      <c r="R2" s="56"/>
      <c r="S2" s="56"/>
      <c r="T2" s="56"/>
      <c r="U2" s="56"/>
      <c r="V2" s="56"/>
      <c r="W2" s="56"/>
      <c r="X2" s="56"/>
      <c r="Y2" s="56"/>
      <c r="Z2" s="2"/>
      <c r="AA2" s="2"/>
    </row>
    <row r="3" spans="1:27" ht="14.4">
      <c r="A3" s="19" t="s">
        <v>184</v>
      </c>
      <c r="B3" s="19">
        <v>1</v>
      </c>
      <c r="C3" s="19">
        <v>2</v>
      </c>
      <c r="D3" s="19">
        <v>3</v>
      </c>
      <c r="E3" s="19">
        <v>4</v>
      </c>
      <c r="F3" s="19">
        <v>5</v>
      </c>
      <c r="G3" s="19">
        <v>6</v>
      </c>
      <c r="H3" s="19">
        <v>7</v>
      </c>
      <c r="I3" s="19">
        <v>8</v>
      </c>
      <c r="J3" s="19">
        <v>9</v>
      </c>
      <c r="K3" s="19">
        <v>10</v>
      </c>
      <c r="L3" s="19">
        <v>11</v>
      </c>
      <c r="M3" s="19">
        <v>12</v>
      </c>
      <c r="N3" s="19">
        <v>13</v>
      </c>
      <c r="O3" s="19">
        <v>14</v>
      </c>
      <c r="P3" s="19">
        <v>15</v>
      </c>
      <c r="Q3" s="19">
        <v>16</v>
      </c>
      <c r="R3" s="19">
        <v>17</v>
      </c>
      <c r="S3" s="19">
        <v>18</v>
      </c>
      <c r="T3" s="19">
        <v>19</v>
      </c>
      <c r="U3" s="19">
        <v>20</v>
      </c>
      <c r="V3" s="19">
        <v>21</v>
      </c>
      <c r="W3" s="19">
        <v>22</v>
      </c>
      <c r="X3" s="19">
        <v>23</v>
      </c>
      <c r="Y3" s="19">
        <v>24</v>
      </c>
      <c r="Z3" s="2"/>
      <c r="AA3" s="2"/>
    </row>
    <row r="4" spans="1:27">
      <c r="A4" s="1" t="s">
        <v>121</v>
      </c>
      <c r="B4" s="1" t="s">
        <v>122</v>
      </c>
      <c r="C4" s="1" t="s">
        <v>123</v>
      </c>
      <c r="D4" s="1" t="s">
        <v>124</v>
      </c>
      <c r="E4" s="1" t="s">
        <v>125</v>
      </c>
      <c r="F4" s="1" t="s">
        <v>126</v>
      </c>
      <c r="G4" s="1" t="s">
        <v>127</v>
      </c>
      <c r="H4" s="1" t="s">
        <v>128</v>
      </c>
      <c r="I4" s="1" t="s">
        <v>129</v>
      </c>
      <c r="J4" s="1" t="s">
        <v>130</v>
      </c>
      <c r="K4" s="1" t="s">
        <v>131</v>
      </c>
      <c r="L4" s="1" t="s">
        <v>132</v>
      </c>
      <c r="M4" s="1" t="s">
        <v>133</v>
      </c>
      <c r="N4" s="1" t="s">
        <v>134</v>
      </c>
      <c r="O4" s="1" t="s">
        <v>135</v>
      </c>
      <c r="P4" s="1" t="s">
        <v>136</v>
      </c>
      <c r="Q4" s="1" t="s">
        <v>137</v>
      </c>
      <c r="R4" s="1" t="s">
        <v>138</v>
      </c>
      <c r="S4" s="1" t="s">
        <v>139</v>
      </c>
      <c r="T4" s="1" t="s">
        <v>140</v>
      </c>
      <c r="U4" s="1" t="s">
        <v>141</v>
      </c>
      <c r="V4" s="1" t="s">
        <v>142</v>
      </c>
      <c r="W4" s="1" t="s">
        <v>143</v>
      </c>
      <c r="X4" s="1" t="s">
        <v>144</v>
      </c>
      <c r="Y4" s="1" t="s">
        <v>145</v>
      </c>
      <c r="Z4" s="2"/>
      <c r="AA4" s="2"/>
    </row>
    <row r="5" spans="1:27">
      <c r="A5" s="5" t="s">
        <v>185</v>
      </c>
      <c r="B5" s="5"/>
      <c r="C5" s="5"/>
      <c r="D5" s="5"/>
      <c r="E5" s="5"/>
      <c r="F5" s="5"/>
      <c r="G5" s="5"/>
      <c r="H5" s="5"/>
      <c r="I5" s="5"/>
      <c r="J5" s="5"/>
      <c r="K5" s="5"/>
      <c r="L5" s="5"/>
      <c r="M5" s="5"/>
      <c r="N5" s="5"/>
      <c r="O5" s="5"/>
      <c r="P5" s="5"/>
      <c r="Q5" s="5"/>
      <c r="R5" s="5"/>
      <c r="S5" s="5"/>
      <c r="T5" s="5"/>
      <c r="U5" s="5"/>
      <c r="V5" s="5"/>
      <c r="W5" s="5"/>
      <c r="X5" s="5"/>
      <c r="Y5" s="5"/>
      <c r="Z5" s="2"/>
      <c r="AA5" s="2"/>
    </row>
    <row r="6" spans="1:27">
      <c r="A6" s="2" t="s">
        <v>186</v>
      </c>
      <c r="B6" s="15">
        <f t="shared" ref="B6:Y6" si="0">COUNTIFS($B$19:$B$25,"Sales &amp; Marketing",$C$19:$C$25,"&lt;="&amp;B$3)</f>
        <v>1</v>
      </c>
      <c r="C6" s="15">
        <f t="shared" si="0"/>
        <v>1</v>
      </c>
      <c r="D6" s="15">
        <f t="shared" si="0"/>
        <v>1</v>
      </c>
      <c r="E6" s="15">
        <f t="shared" si="0"/>
        <v>2</v>
      </c>
      <c r="F6" s="15">
        <f t="shared" si="0"/>
        <v>2</v>
      </c>
      <c r="G6" s="15">
        <f t="shared" si="0"/>
        <v>2</v>
      </c>
      <c r="H6" s="15">
        <f t="shared" si="0"/>
        <v>2</v>
      </c>
      <c r="I6" s="15">
        <f t="shared" si="0"/>
        <v>2</v>
      </c>
      <c r="J6" s="15">
        <f t="shared" si="0"/>
        <v>2</v>
      </c>
      <c r="K6" s="15">
        <f t="shared" si="0"/>
        <v>2</v>
      </c>
      <c r="L6" s="15">
        <f t="shared" si="0"/>
        <v>2</v>
      </c>
      <c r="M6" s="15">
        <f t="shared" si="0"/>
        <v>2</v>
      </c>
      <c r="N6" s="15">
        <f t="shared" si="0"/>
        <v>2</v>
      </c>
      <c r="O6" s="15">
        <f t="shared" si="0"/>
        <v>2</v>
      </c>
      <c r="P6" s="15">
        <f t="shared" si="0"/>
        <v>2</v>
      </c>
      <c r="Q6" s="15">
        <f t="shared" si="0"/>
        <v>2</v>
      </c>
      <c r="R6" s="15">
        <f t="shared" si="0"/>
        <v>2</v>
      </c>
      <c r="S6" s="15">
        <f t="shared" si="0"/>
        <v>2</v>
      </c>
      <c r="T6" s="15">
        <f t="shared" si="0"/>
        <v>2</v>
      </c>
      <c r="U6" s="15">
        <f t="shared" si="0"/>
        <v>2</v>
      </c>
      <c r="V6" s="15">
        <f t="shared" si="0"/>
        <v>2</v>
      </c>
      <c r="W6" s="15">
        <f t="shared" si="0"/>
        <v>2</v>
      </c>
      <c r="X6" s="15">
        <f t="shared" si="0"/>
        <v>2</v>
      </c>
      <c r="Y6" s="15">
        <f t="shared" si="0"/>
        <v>2</v>
      </c>
      <c r="Z6" s="2"/>
      <c r="AA6" s="2"/>
    </row>
    <row r="7" spans="1:27">
      <c r="A7" s="2" t="s">
        <v>187</v>
      </c>
      <c r="B7" s="15">
        <f t="shared" ref="B7:Y7" si="1">COUNTIFS($B$19:$B$25,"R&amp;D / Product",$C$19:$C$25,"&lt;="&amp;B$3)</f>
        <v>1</v>
      </c>
      <c r="C7" s="15">
        <f t="shared" si="1"/>
        <v>1</v>
      </c>
      <c r="D7" s="15">
        <f t="shared" si="1"/>
        <v>1</v>
      </c>
      <c r="E7" s="15">
        <f t="shared" si="1"/>
        <v>1</v>
      </c>
      <c r="F7" s="15">
        <f t="shared" si="1"/>
        <v>1</v>
      </c>
      <c r="G7" s="15">
        <f t="shared" si="1"/>
        <v>2</v>
      </c>
      <c r="H7" s="15">
        <f t="shared" si="1"/>
        <v>2</v>
      </c>
      <c r="I7" s="15">
        <f t="shared" si="1"/>
        <v>3</v>
      </c>
      <c r="J7" s="15">
        <f t="shared" si="1"/>
        <v>3</v>
      </c>
      <c r="K7" s="15">
        <f t="shared" si="1"/>
        <v>3</v>
      </c>
      <c r="L7" s="15">
        <f t="shared" si="1"/>
        <v>3</v>
      </c>
      <c r="M7" s="15">
        <f t="shared" si="1"/>
        <v>3</v>
      </c>
      <c r="N7" s="15">
        <f t="shared" si="1"/>
        <v>3</v>
      </c>
      <c r="O7" s="15">
        <f t="shared" si="1"/>
        <v>3</v>
      </c>
      <c r="P7" s="15">
        <f t="shared" si="1"/>
        <v>3</v>
      </c>
      <c r="Q7" s="15">
        <f t="shared" si="1"/>
        <v>3</v>
      </c>
      <c r="R7" s="15">
        <f t="shared" si="1"/>
        <v>3</v>
      </c>
      <c r="S7" s="15">
        <f t="shared" si="1"/>
        <v>3</v>
      </c>
      <c r="T7" s="15">
        <f t="shared" si="1"/>
        <v>3</v>
      </c>
      <c r="U7" s="15">
        <f t="shared" si="1"/>
        <v>3</v>
      </c>
      <c r="V7" s="15">
        <f t="shared" si="1"/>
        <v>3</v>
      </c>
      <c r="W7" s="15">
        <f t="shared" si="1"/>
        <v>3</v>
      </c>
      <c r="X7" s="15">
        <f t="shared" si="1"/>
        <v>3</v>
      </c>
      <c r="Y7" s="15">
        <f t="shared" si="1"/>
        <v>3</v>
      </c>
      <c r="Z7" s="2"/>
      <c r="AA7" s="2"/>
    </row>
    <row r="8" spans="1:27">
      <c r="A8" s="2" t="s">
        <v>188</v>
      </c>
      <c r="B8" s="15">
        <f t="shared" ref="B8:Y8" si="2">COUNTIFS($B$19:$B$25,"G&amp;A",$C$19:$C$25,"&lt;="&amp;B$3)</f>
        <v>1</v>
      </c>
      <c r="C8" s="15">
        <f t="shared" si="2"/>
        <v>1</v>
      </c>
      <c r="D8" s="15">
        <f t="shared" si="2"/>
        <v>1</v>
      </c>
      <c r="E8" s="15">
        <f t="shared" si="2"/>
        <v>1</v>
      </c>
      <c r="F8" s="15">
        <f t="shared" si="2"/>
        <v>1</v>
      </c>
      <c r="G8" s="15">
        <f t="shared" si="2"/>
        <v>1</v>
      </c>
      <c r="H8" s="15">
        <f t="shared" si="2"/>
        <v>1</v>
      </c>
      <c r="I8" s="15">
        <f t="shared" si="2"/>
        <v>1</v>
      </c>
      <c r="J8" s="15">
        <f t="shared" si="2"/>
        <v>1</v>
      </c>
      <c r="K8" s="15">
        <f t="shared" si="2"/>
        <v>2</v>
      </c>
      <c r="L8" s="15">
        <f t="shared" si="2"/>
        <v>2</v>
      </c>
      <c r="M8" s="15">
        <f t="shared" si="2"/>
        <v>2</v>
      </c>
      <c r="N8" s="15">
        <f t="shared" si="2"/>
        <v>2</v>
      </c>
      <c r="O8" s="15">
        <f t="shared" si="2"/>
        <v>2</v>
      </c>
      <c r="P8" s="15">
        <f t="shared" si="2"/>
        <v>2</v>
      </c>
      <c r="Q8" s="15">
        <f t="shared" si="2"/>
        <v>2</v>
      </c>
      <c r="R8" s="15">
        <f t="shared" si="2"/>
        <v>2</v>
      </c>
      <c r="S8" s="15">
        <f t="shared" si="2"/>
        <v>2</v>
      </c>
      <c r="T8" s="15">
        <f t="shared" si="2"/>
        <v>2</v>
      </c>
      <c r="U8" s="15">
        <f t="shared" si="2"/>
        <v>2</v>
      </c>
      <c r="V8" s="15">
        <f t="shared" si="2"/>
        <v>2</v>
      </c>
      <c r="W8" s="15">
        <f t="shared" si="2"/>
        <v>2</v>
      </c>
      <c r="X8" s="15">
        <f t="shared" si="2"/>
        <v>2</v>
      </c>
      <c r="Y8" s="15">
        <f t="shared" si="2"/>
        <v>2</v>
      </c>
      <c r="Z8" s="2"/>
      <c r="AA8" s="2"/>
    </row>
    <row r="9" spans="1:27">
      <c r="A9" s="2" t="s">
        <v>189</v>
      </c>
      <c r="B9" s="15">
        <f t="shared" ref="B9:Y9" si="3">SUM(B6:B8)</f>
        <v>3</v>
      </c>
      <c r="C9" s="15">
        <f t="shared" si="3"/>
        <v>3</v>
      </c>
      <c r="D9" s="15">
        <f t="shared" si="3"/>
        <v>3</v>
      </c>
      <c r="E9" s="15">
        <f t="shared" si="3"/>
        <v>4</v>
      </c>
      <c r="F9" s="15">
        <f t="shared" si="3"/>
        <v>4</v>
      </c>
      <c r="G9" s="15">
        <f t="shared" si="3"/>
        <v>5</v>
      </c>
      <c r="H9" s="15">
        <f t="shared" si="3"/>
        <v>5</v>
      </c>
      <c r="I9" s="15">
        <f t="shared" si="3"/>
        <v>6</v>
      </c>
      <c r="J9" s="15">
        <f t="shared" si="3"/>
        <v>6</v>
      </c>
      <c r="K9" s="15">
        <f t="shared" si="3"/>
        <v>7</v>
      </c>
      <c r="L9" s="15">
        <f t="shared" si="3"/>
        <v>7</v>
      </c>
      <c r="M9" s="15">
        <f t="shared" si="3"/>
        <v>7</v>
      </c>
      <c r="N9" s="15">
        <f t="shared" si="3"/>
        <v>7</v>
      </c>
      <c r="O9" s="15">
        <f t="shared" si="3"/>
        <v>7</v>
      </c>
      <c r="P9" s="15">
        <f t="shared" si="3"/>
        <v>7</v>
      </c>
      <c r="Q9" s="15">
        <f t="shared" si="3"/>
        <v>7</v>
      </c>
      <c r="R9" s="15">
        <f t="shared" si="3"/>
        <v>7</v>
      </c>
      <c r="S9" s="15">
        <f t="shared" si="3"/>
        <v>7</v>
      </c>
      <c r="T9" s="15">
        <f t="shared" si="3"/>
        <v>7</v>
      </c>
      <c r="U9" s="15">
        <f t="shared" si="3"/>
        <v>7</v>
      </c>
      <c r="V9" s="15">
        <f t="shared" si="3"/>
        <v>7</v>
      </c>
      <c r="W9" s="15">
        <f t="shared" si="3"/>
        <v>7</v>
      </c>
      <c r="X9" s="15">
        <f t="shared" si="3"/>
        <v>7</v>
      </c>
      <c r="Y9" s="15">
        <f t="shared" si="3"/>
        <v>7</v>
      </c>
      <c r="Z9" s="2"/>
      <c r="AA9" s="2"/>
    </row>
    <row r="10" spans="1:27">
      <c r="A10" s="2"/>
      <c r="B10" s="2"/>
      <c r="C10" s="2"/>
      <c r="D10" s="2"/>
      <c r="E10" s="2"/>
      <c r="F10" s="2"/>
      <c r="G10" s="2"/>
      <c r="H10" s="2"/>
      <c r="I10" s="2"/>
      <c r="J10" s="2"/>
      <c r="K10" s="2"/>
      <c r="L10" s="2"/>
      <c r="M10" s="2"/>
      <c r="N10" s="2"/>
      <c r="O10" s="2"/>
      <c r="P10" s="2"/>
      <c r="Q10" s="2"/>
      <c r="R10" s="2"/>
      <c r="S10" s="2"/>
      <c r="T10" s="2"/>
      <c r="U10" s="2"/>
      <c r="V10" s="2"/>
      <c r="W10" s="2"/>
      <c r="X10" s="2"/>
      <c r="Y10" s="2"/>
      <c r="Z10" s="2"/>
      <c r="AA10" s="2"/>
    </row>
    <row r="11" spans="1:27">
      <c r="A11" s="5" t="s">
        <v>190</v>
      </c>
      <c r="B11" s="5"/>
      <c r="C11" s="5"/>
      <c r="D11" s="5"/>
      <c r="E11" s="5"/>
      <c r="F11" s="5"/>
      <c r="G11" s="5"/>
      <c r="H11" s="5"/>
      <c r="I11" s="5"/>
      <c r="J11" s="5"/>
      <c r="K11" s="5"/>
      <c r="L11" s="5"/>
      <c r="M11" s="5"/>
      <c r="N11" s="5"/>
      <c r="O11" s="5"/>
      <c r="P11" s="5"/>
      <c r="Q11" s="5"/>
      <c r="R11" s="5"/>
      <c r="S11" s="5"/>
      <c r="T11" s="5"/>
      <c r="U11" s="5"/>
      <c r="V11" s="5"/>
      <c r="W11" s="5"/>
      <c r="X11" s="5"/>
      <c r="Y11" s="5"/>
      <c r="Z11" s="2"/>
      <c r="AA11" s="2"/>
    </row>
    <row r="12" spans="1:27">
      <c r="A12" s="2" t="s">
        <v>191</v>
      </c>
      <c r="B12" s="16">
        <f>SUMIFS($D$19:$D$25,$B$19:$B$25,"Sales &amp; Marketing",$C$19:$C$25,"&lt;="&amp;B$3)*(1+Assumptions!$C$30)*POWER(1+Assumptions!$C$31,INT((B$3-1)/12))</f>
        <v>9200</v>
      </c>
      <c r="C12" s="16">
        <f>SUMIFS($D$19:$D$25,$B$19:$B$25,"Sales &amp; Marketing",$C$19:$C$25,"&lt;="&amp;C$3)*(1+Assumptions!$C$30)*POWER(1+Assumptions!$C$31,INT((C$3-1)/12))</f>
        <v>9200</v>
      </c>
      <c r="D12" s="16">
        <f>SUMIFS($D$19:$D$25,$B$19:$B$25,"Sales &amp; Marketing",$C$19:$C$25,"&lt;="&amp;D$3)*(1+Assumptions!$C$30)*POWER(1+Assumptions!$C$31,INT((D$3-1)/12))</f>
        <v>9200</v>
      </c>
      <c r="E12" s="16">
        <f>SUMIFS($D$19:$D$25,$B$19:$B$25,"Sales &amp; Marketing",$C$19:$C$25,"&lt;="&amp;E$3)*(1+Assumptions!$C$30)*POWER(1+Assumptions!$C$31,INT((E$3-1)/12))</f>
        <v>15524.999999999998</v>
      </c>
      <c r="F12" s="16">
        <f>SUMIFS($D$19:$D$25,$B$19:$B$25,"Sales &amp; Marketing",$C$19:$C$25,"&lt;="&amp;F$3)*(1+Assumptions!$C$30)*POWER(1+Assumptions!$C$31,INT((F$3-1)/12))</f>
        <v>15524.999999999998</v>
      </c>
      <c r="G12" s="16">
        <f>SUMIFS($D$19:$D$25,$B$19:$B$25,"Sales &amp; Marketing",$C$19:$C$25,"&lt;="&amp;G$3)*(1+Assumptions!$C$30)*POWER(1+Assumptions!$C$31,INT((G$3-1)/12))</f>
        <v>15524.999999999998</v>
      </c>
      <c r="H12" s="16">
        <f>SUMIFS($D$19:$D$25,$B$19:$B$25,"Sales &amp; Marketing",$C$19:$C$25,"&lt;="&amp;H$3)*(1+Assumptions!$C$30)*POWER(1+Assumptions!$C$31,INT((H$3-1)/12))</f>
        <v>15524.999999999998</v>
      </c>
      <c r="I12" s="16">
        <f>SUMIFS($D$19:$D$25,$B$19:$B$25,"Sales &amp; Marketing",$C$19:$C$25,"&lt;="&amp;I$3)*(1+Assumptions!$C$30)*POWER(1+Assumptions!$C$31,INT((I$3-1)/12))</f>
        <v>15524.999999999998</v>
      </c>
      <c r="J12" s="16">
        <f>SUMIFS($D$19:$D$25,$B$19:$B$25,"Sales &amp; Marketing",$C$19:$C$25,"&lt;="&amp;J$3)*(1+Assumptions!$C$30)*POWER(1+Assumptions!$C$31,INT((J$3-1)/12))</f>
        <v>15524.999999999998</v>
      </c>
      <c r="K12" s="16">
        <f>SUMIFS($D$19:$D$25,$B$19:$B$25,"Sales &amp; Marketing",$C$19:$C$25,"&lt;="&amp;K$3)*(1+Assumptions!$C$30)*POWER(1+Assumptions!$C$31,INT((K$3-1)/12))</f>
        <v>15524.999999999998</v>
      </c>
      <c r="L12" s="16">
        <f>SUMIFS($D$19:$D$25,$B$19:$B$25,"Sales &amp; Marketing",$C$19:$C$25,"&lt;="&amp;L$3)*(1+Assumptions!$C$30)*POWER(1+Assumptions!$C$31,INT((L$3-1)/12))</f>
        <v>15524.999999999998</v>
      </c>
      <c r="M12" s="16">
        <f>SUMIFS($D$19:$D$25,$B$19:$B$25,"Sales &amp; Marketing",$C$19:$C$25,"&lt;="&amp;M$3)*(1+Assumptions!$C$30)*POWER(1+Assumptions!$C$31,INT((M$3-1)/12))</f>
        <v>15524.999999999998</v>
      </c>
      <c r="N12" s="16">
        <f>SUMIFS($D$19:$D$25,$B$19:$B$25,"Sales &amp; Marketing",$C$19:$C$25,"&lt;="&amp;N$3)*(1+Assumptions!$C$30)*POWER(1+Assumptions!$C$31,INT((N$3-1)/12))</f>
        <v>15990.749999999998</v>
      </c>
      <c r="O12" s="16">
        <f>SUMIFS($D$19:$D$25,$B$19:$B$25,"Sales &amp; Marketing",$C$19:$C$25,"&lt;="&amp;O$3)*(1+Assumptions!$C$30)*POWER(1+Assumptions!$C$31,INT((O$3-1)/12))</f>
        <v>15990.749999999998</v>
      </c>
      <c r="P12" s="16">
        <f>SUMIFS($D$19:$D$25,$B$19:$B$25,"Sales &amp; Marketing",$C$19:$C$25,"&lt;="&amp;P$3)*(1+Assumptions!$C$30)*POWER(1+Assumptions!$C$31,INT((P$3-1)/12))</f>
        <v>15990.749999999998</v>
      </c>
      <c r="Q12" s="16">
        <f>SUMIFS($D$19:$D$25,$B$19:$B$25,"Sales &amp; Marketing",$C$19:$C$25,"&lt;="&amp;Q$3)*(1+Assumptions!$C$30)*POWER(1+Assumptions!$C$31,INT((Q$3-1)/12))</f>
        <v>15990.749999999998</v>
      </c>
      <c r="R12" s="16">
        <f>SUMIFS($D$19:$D$25,$B$19:$B$25,"Sales &amp; Marketing",$C$19:$C$25,"&lt;="&amp;R$3)*(1+Assumptions!$C$30)*POWER(1+Assumptions!$C$31,INT((R$3-1)/12))</f>
        <v>15990.749999999998</v>
      </c>
      <c r="S12" s="16">
        <f>SUMIFS($D$19:$D$25,$B$19:$B$25,"Sales &amp; Marketing",$C$19:$C$25,"&lt;="&amp;S$3)*(1+Assumptions!$C$30)*POWER(1+Assumptions!$C$31,INT((S$3-1)/12))</f>
        <v>15990.749999999998</v>
      </c>
      <c r="T12" s="16">
        <f>SUMIFS($D$19:$D$25,$B$19:$B$25,"Sales &amp; Marketing",$C$19:$C$25,"&lt;="&amp;T$3)*(1+Assumptions!$C$30)*POWER(1+Assumptions!$C$31,INT((T$3-1)/12))</f>
        <v>15990.749999999998</v>
      </c>
      <c r="U12" s="16">
        <f>SUMIFS($D$19:$D$25,$B$19:$B$25,"Sales &amp; Marketing",$C$19:$C$25,"&lt;="&amp;U$3)*(1+Assumptions!$C$30)*POWER(1+Assumptions!$C$31,INT((U$3-1)/12))</f>
        <v>15990.749999999998</v>
      </c>
      <c r="V12" s="16">
        <f>SUMIFS($D$19:$D$25,$B$19:$B$25,"Sales &amp; Marketing",$C$19:$C$25,"&lt;="&amp;V$3)*(1+Assumptions!$C$30)*POWER(1+Assumptions!$C$31,INT((V$3-1)/12))</f>
        <v>15990.749999999998</v>
      </c>
      <c r="W12" s="16">
        <f>SUMIFS($D$19:$D$25,$B$19:$B$25,"Sales &amp; Marketing",$C$19:$C$25,"&lt;="&amp;W$3)*(1+Assumptions!$C$30)*POWER(1+Assumptions!$C$31,INT((W$3-1)/12))</f>
        <v>15990.749999999998</v>
      </c>
      <c r="X12" s="16">
        <f>SUMIFS($D$19:$D$25,$B$19:$B$25,"Sales &amp; Marketing",$C$19:$C$25,"&lt;="&amp;X$3)*(1+Assumptions!$C$30)*POWER(1+Assumptions!$C$31,INT((X$3-1)/12))</f>
        <v>15990.749999999998</v>
      </c>
      <c r="Y12" s="16">
        <f>SUMIFS($D$19:$D$25,$B$19:$B$25,"Sales &amp; Marketing",$C$19:$C$25,"&lt;="&amp;Y$3)*(1+Assumptions!$C$30)*POWER(1+Assumptions!$C$31,INT((Y$3-1)/12))</f>
        <v>15990.749999999998</v>
      </c>
      <c r="Z12" s="2"/>
      <c r="AA12" s="2"/>
    </row>
    <row r="13" spans="1:27">
      <c r="A13" s="2" t="s">
        <v>192</v>
      </c>
      <c r="B13" s="16">
        <f>SUMIFS($D$19:$D$25,$B$19:$B$25,"R&amp;D / Product",$C$19:$C$25,"&lt;="&amp;B$3)*(1+Assumptions!$C$30)*POWER(1+Assumptions!$C$31,INT((B$3-1)/12))</f>
        <v>10350</v>
      </c>
      <c r="C13" s="16">
        <f>SUMIFS($D$19:$D$25,$B$19:$B$25,"R&amp;D / Product",$C$19:$C$25,"&lt;="&amp;C$3)*(1+Assumptions!$C$30)*POWER(1+Assumptions!$C$31,INT((C$3-1)/12))</f>
        <v>10350</v>
      </c>
      <c r="D13" s="16">
        <f>SUMIFS($D$19:$D$25,$B$19:$B$25,"R&amp;D / Product",$C$19:$C$25,"&lt;="&amp;D$3)*(1+Assumptions!$C$30)*POWER(1+Assumptions!$C$31,INT((D$3-1)/12))</f>
        <v>10350</v>
      </c>
      <c r="E13" s="16">
        <f>SUMIFS($D$19:$D$25,$B$19:$B$25,"R&amp;D / Product",$C$19:$C$25,"&lt;="&amp;E$3)*(1+Assumptions!$C$30)*POWER(1+Assumptions!$C$31,INT((E$3-1)/12))</f>
        <v>10350</v>
      </c>
      <c r="F13" s="16">
        <f>SUMIFS($D$19:$D$25,$B$19:$B$25,"R&amp;D / Product",$C$19:$C$25,"&lt;="&amp;F$3)*(1+Assumptions!$C$30)*POWER(1+Assumptions!$C$31,INT((F$3-1)/12))</f>
        <v>10350</v>
      </c>
      <c r="G13" s="16">
        <f>SUMIFS($D$19:$D$25,$B$19:$B$25,"R&amp;D / Product",$C$19:$C$25,"&lt;="&amp;G$3)*(1+Assumptions!$C$30)*POWER(1+Assumptions!$C$31,INT((G$3-1)/12))</f>
        <v>20700</v>
      </c>
      <c r="H13" s="16">
        <f>SUMIFS($D$19:$D$25,$B$19:$B$25,"R&amp;D / Product",$C$19:$C$25,"&lt;="&amp;H$3)*(1+Assumptions!$C$30)*POWER(1+Assumptions!$C$31,INT((H$3-1)/12))</f>
        <v>20700</v>
      </c>
      <c r="I13" s="16">
        <f>SUMIFS($D$19:$D$25,$B$19:$B$25,"R&amp;D / Product",$C$19:$C$25,"&lt;="&amp;I$3)*(1+Assumptions!$C$30)*POWER(1+Assumptions!$C$31,INT((I$3-1)/12))</f>
        <v>28749.999999999996</v>
      </c>
      <c r="J13" s="16">
        <f>SUMIFS($D$19:$D$25,$B$19:$B$25,"R&amp;D / Product",$C$19:$C$25,"&lt;="&amp;J$3)*(1+Assumptions!$C$30)*POWER(1+Assumptions!$C$31,INT((J$3-1)/12))</f>
        <v>28749.999999999996</v>
      </c>
      <c r="K13" s="16">
        <f>SUMIFS($D$19:$D$25,$B$19:$B$25,"R&amp;D / Product",$C$19:$C$25,"&lt;="&amp;K$3)*(1+Assumptions!$C$30)*POWER(1+Assumptions!$C$31,INT((K$3-1)/12))</f>
        <v>28749.999999999996</v>
      </c>
      <c r="L13" s="16">
        <f>SUMIFS($D$19:$D$25,$B$19:$B$25,"R&amp;D / Product",$C$19:$C$25,"&lt;="&amp;L$3)*(1+Assumptions!$C$30)*POWER(1+Assumptions!$C$31,INT((L$3-1)/12))</f>
        <v>28749.999999999996</v>
      </c>
      <c r="M13" s="16">
        <f>SUMIFS($D$19:$D$25,$B$19:$B$25,"R&amp;D / Product",$C$19:$C$25,"&lt;="&amp;M$3)*(1+Assumptions!$C$30)*POWER(1+Assumptions!$C$31,INT((M$3-1)/12))</f>
        <v>28749.999999999996</v>
      </c>
      <c r="N13" s="16">
        <f>SUMIFS($D$19:$D$25,$B$19:$B$25,"R&amp;D / Product",$C$19:$C$25,"&lt;="&amp;N$3)*(1+Assumptions!$C$30)*POWER(1+Assumptions!$C$31,INT((N$3-1)/12))</f>
        <v>29612.499999999996</v>
      </c>
      <c r="O13" s="16">
        <f>SUMIFS($D$19:$D$25,$B$19:$B$25,"R&amp;D / Product",$C$19:$C$25,"&lt;="&amp;O$3)*(1+Assumptions!$C$30)*POWER(1+Assumptions!$C$31,INT((O$3-1)/12))</f>
        <v>29612.499999999996</v>
      </c>
      <c r="P13" s="16">
        <f>SUMIFS($D$19:$D$25,$B$19:$B$25,"R&amp;D / Product",$C$19:$C$25,"&lt;="&amp;P$3)*(1+Assumptions!$C$30)*POWER(1+Assumptions!$C$31,INT((P$3-1)/12))</f>
        <v>29612.499999999996</v>
      </c>
      <c r="Q13" s="16">
        <f>SUMIFS($D$19:$D$25,$B$19:$B$25,"R&amp;D / Product",$C$19:$C$25,"&lt;="&amp;Q$3)*(1+Assumptions!$C$30)*POWER(1+Assumptions!$C$31,INT((Q$3-1)/12))</f>
        <v>29612.499999999996</v>
      </c>
      <c r="R13" s="16">
        <f>SUMIFS($D$19:$D$25,$B$19:$B$25,"R&amp;D / Product",$C$19:$C$25,"&lt;="&amp;R$3)*(1+Assumptions!$C$30)*POWER(1+Assumptions!$C$31,INT((R$3-1)/12))</f>
        <v>29612.499999999996</v>
      </c>
      <c r="S13" s="16">
        <f>SUMIFS($D$19:$D$25,$B$19:$B$25,"R&amp;D / Product",$C$19:$C$25,"&lt;="&amp;S$3)*(1+Assumptions!$C$30)*POWER(1+Assumptions!$C$31,INT((S$3-1)/12))</f>
        <v>29612.499999999996</v>
      </c>
      <c r="T13" s="16">
        <f>SUMIFS($D$19:$D$25,$B$19:$B$25,"R&amp;D / Product",$C$19:$C$25,"&lt;="&amp;T$3)*(1+Assumptions!$C$30)*POWER(1+Assumptions!$C$31,INT((T$3-1)/12))</f>
        <v>29612.499999999996</v>
      </c>
      <c r="U13" s="16">
        <f>SUMIFS($D$19:$D$25,$B$19:$B$25,"R&amp;D / Product",$C$19:$C$25,"&lt;="&amp;U$3)*(1+Assumptions!$C$30)*POWER(1+Assumptions!$C$31,INT((U$3-1)/12))</f>
        <v>29612.499999999996</v>
      </c>
      <c r="V13" s="16">
        <f>SUMIFS($D$19:$D$25,$B$19:$B$25,"R&amp;D / Product",$C$19:$C$25,"&lt;="&amp;V$3)*(1+Assumptions!$C$30)*POWER(1+Assumptions!$C$31,INT((V$3-1)/12))</f>
        <v>29612.499999999996</v>
      </c>
      <c r="W13" s="16">
        <f>SUMIFS($D$19:$D$25,$B$19:$B$25,"R&amp;D / Product",$C$19:$C$25,"&lt;="&amp;W$3)*(1+Assumptions!$C$30)*POWER(1+Assumptions!$C$31,INT((W$3-1)/12))</f>
        <v>29612.499999999996</v>
      </c>
      <c r="X13" s="16">
        <f>SUMIFS($D$19:$D$25,$B$19:$B$25,"R&amp;D / Product",$C$19:$C$25,"&lt;="&amp;X$3)*(1+Assumptions!$C$30)*POWER(1+Assumptions!$C$31,INT((X$3-1)/12))</f>
        <v>29612.499999999996</v>
      </c>
      <c r="Y13" s="16">
        <f>SUMIFS($D$19:$D$25,$B$19:$B$25,"R&amp;D / Product",$C$19:$C$25,"&lt;="&amp;Y$3)*(1+Assumptions!$C$30)*POWER(1+Assumptions!$C$31,INT((Y$3-1)/12))</f>
        <v>29612.499999999996</v>
      </c>
      <c r="Z13" s="2"/>
      <c r="AA13" s="2"/>
    </row>
    <row r="14" spans="1:27">
      <c r="A14" s="2" t="s">
        <v>193</v>
      </c>
      <c r="B14" s="16">
        <f>SUMIFS($D$19:$D$25,$B$19:$B$25,"G&amp;A",$C$19:$C$25,"&lt;="&amp;B$3)*(1+Assumptions!$C$30)*POWER(1+Assumptions!$C$31,INT((B$3-1)/12))</f>
        <v>7474.9999999999991</v>
      </c>
      <c r="C14" s="16">
        <f>SUMIFS($D$19:$D$25,$B$19:$B$25,"G&amp;A",$C$19:$C$25,"&lt;="&amp;C$3)*(1+Assumptions!$C$30)*POWER(1+Assumptions!$C$31,INT((C$3-1)/12))</f>
        <v>7474.9999999999991</v>
      </c>
      <c r="D14" s="16">
        <f>SUMIFS($D$19:$D$25,$B$19:$B$25,"G&amp;A",$C$19:$C$25,"&lt;="&amp;D$3)*(1+Assumptions!$C$30)*POWER(1+Assumptions!$C$31,INT((D$3-1)/12))</f>
        <v>7474.9999999999991</v>
      </c>
      <c r="E14" s="16">
        <f>SUMIFS($D$19:$D$25,$B$19:$B$25,"G&amp;A",$C$19:$C$25,"&lt;="&amp;E$3)*(1+Assumptions!$C$30)*POWER(1+Assumptions!$C$31,INT((E$3-1)/12))</f>
        <v>7474.9999999999991</v>
      </c>
      <c r="F14" s="16">
        <f>SUMIFS($D$19:$D$25,$B$19:$B$25,"G&amp;A",$C$19:$C$25,"&lt;="&amp;F$3)*(1+Assumptions!$C$30)*POWER(1+Assumptions!$C$31,INT((F$3-1)/12))</f>
        <v>7474.9999999999991</v>
      </c>
      <c r="G14" s="16">
        <f>SUMIFS($D$19:$D$25,$B$19:$B$25,"G&amp;A",$C$19:$C$25,"&lt;="&amp;G$3)*(1+Assumptions!$C$30)*POWER(1+Assumptions!$C$31,INT((G$3-1)/12))</f>
        <v>7474.9999999999991</v>
      </c>
      <c r="H14" s="16">
        <f>SUMIFS($D$19:$D$25,$B$19:$B$25,"G&amp;A",$C$19:$C$25,"&lt;="&amp;H$3)*(1+Assumptions!$C$30)*POWER(1+Assumptions!$C$31,INT((H$3-1)/12))</f>
        <v>7474.9999999999991</v>
      </c>
      <c r="I14" s="16">
        <f>SUMIFS($D$19:$D$25,$B$19:$B$25,"G&amp;A",$C$19:$C$25,"&lt;="&amp;I$3)*(1+Assumptions!$C$30)*POWER(1+Assumptions!$C$31,INT((I$3-1)/12))</f>
        <v>7474.9999999999991</v>
      </c>
      <c r="J14" s="16">
        <f>SUMIFS($D$19:$D$25,$B$19:$B$25,"G&amp;A",$C$19:$C$25,"&lt;="&amp;J$3)*(1+Assumptions!$C$30)*POWER(1+Assumptions!$C$31,INT((J$3-1)/12))</f>
        <v>7474.9999999999991</v>
      </c>
      <c r="K14" s="16">
        <f>SUMIFS($D$19:$D$25,$B$19:$B$25,"G&amp;A",$C$19:$C$25,"&lt;="&amp;K$3)*(1+Assumptions!$C$30)*POWER(1+Assumptions!$C$31,INT((K$3-1)/12))</f>
        <v>12649.999999999998</v>
      </c>
      <c r="L14" s="16">
        <f>SUMIFS($D$19:$D$25,$B$19:$B$25,"G&amp;A",$C$19:$C$25,"&lt;="&amp;L$3)*(1+Assumptions!$C$30)*POWER(1+Assumptions!$C$31,INT((L$3-1)/12))</f>
        <v>12649.999999999998</v>
      </c>
      <c r="M14" s="16">
        <f>SUMIFS($D$19:$D$25,$B$19:$B$25,"G&amp;A",$C$19:$C$25,"&lt;="&amp;M$3)*(1+Assumptions!$C$30)*POWER(1+Assumptions!$C$31,INT((M$3-1)/12))</f>
        <v>12649.999999999998</v>
      </c>
      <c r="N14" s="16">
        <f>SUMIFS($D$19:$D$25,$B$19:$B$25,"G&amp;A",$C$19:$C$25,"&lt;="&amp;N$3)*(1+Assumptions!$C$30)*POWER(1+Assumptions!$C$31,INT((N$3-1)/12))</f>
        <v>13029.499999999998</v>
      </c>
      <c r="O14" s="16">
        <f>SUMIFS($D$19:$D$25,$B$19:$B$25,"G&amp;A",$C$19:$C$25,"&lt;="&amp;O$3)*(1+Assumptions!$C$30)*POWER(1+Assumptions!$C$31,INT((O$3-1)/12))</f>
        <v>13029.499999999998</v>
      </c>
      <c r="P14" s="16">
        <f>SUMIFS($D$19:$D$25,$B$19:$B$25,"G&amp;A",$C$19:$C$25,"&lt;="&amp;P$3)*(1+Assumptions!$C$30)*POWER(1+Assumptions!$C$31,INT((P$3-1)/12))</f>
        <v>13029.499999999998</v>
      </c>
      <c r="Q14" s="16">
        <f>SUMIFS($D$19:$D$25,$B$19:$B$25,"G&amp;A",$C$19:$C$25,"&lt;="&amp;Q$3)*(1+Assumptions!$C$30)*POWER(1+Assumptions!$C$31,INT((Q$3-1)/12))</f>
        <v>13029.499999999998</v>
      </c>
      <c r="R14" s="16">
        <f>SUMIFS($D$19:$D$25,$B$19:$B$25,"G&amp;A",$C$19:$C$25,"&lt;="&amp;R$3)*(1+Assumptions!$C$30)*POWER(1+Assumptions!$C$31,INT((R$3-1)/12))</f>
        <v>13029.499999999998</v>
      </c>
      <c r="S14" s="16">
        <f>SUMIFS($D$19:$D$25,$B$19:$B$25,"G&amp;A",$C$19:$C$25,"&lt;="&amp;S$3)*(1+Assumptions!$C$30)*POWER(1+Assumptions!$C$31,INT((S$3-1)/12))</f>
        <v>13029.499999999998</v>
      </c>
      <c r="T14" s="16">
        <f>SUMIFS($D$19:$D$25,$B$19:$B$25,"G&amp;A",$C$19:$C$25,"&lt;="&amp;T$3)*(1+Assumptions!$C$30)*POWER(1+Assumptions!$C$31,INT((T$3-1)/12))</f>
        <v>13029.499999999998</v>
      </c>
      <c r="U14" s="16">
        <f>SUMIFS($D$19:$D$25,$B$19:$B$25,"G&amp;A",$C$19:$C$25,"&lt;="&amp;U$3)*(1+Assumptions!$C$30)*POWER(1+Assumptions!$C$31,INT((U$3-1)/12))</f>
        <v>13029.499999999998</v>
      </c>
      <c r="V14" s="16">
        <f>SUMIFS($D$19:$D$25,$B$19:$B$25,"G&amp;A",$C$19:$C$25,"&lt;="&amp;V$3)*(1+Assumptions!$C$30)*POWER(1+Assumptions!$C$31,INT((V$3-1)/12))</f>
        <v>13029.499999999998</v>
      </c>
      <c r="W14" s="16">
        <f>SUMIFS($D$19:$D$25,$B$19:$B$25,"G&amp;A",$C$19:$C$25,"&lt;="&amp;W$3)*(1+Assumptions!$C$30)*POWER(1+Assumptions!$C$31,INT((W$3-1)/12))</f>
        <v>13029.499999999998</v>
      </c>
      <c r="X14" s="16">
        <f>SUMIFS($D$19:$D$25,$B$19:$B$25,"G&amp;A",$C$19:$C$25,"&lt;="&amp;X$3)*(1+Assumptions!$C$30)*POWER(1+Assumptions!$C$31,INT((X$3-1)/12))</f>
        <v>13029.499999999998</v>
      </c>
      <c r="Y14" s="16">
        <f>SUMIFS($D$19:$D$25,$B$19:$B$25,"G&amp;A",$C$19:$C$25,"&lt;="&amp;Y$3)*(1+Assumptions!$C$30)*POWER(1+Assumptions!$C$31,INT((Y$3-1)/12))</f>
        <v>13029.499999999998</v>
      </c>
      <c r="Z14" s="2"/>
      <c r="AA14" s="2"/>
    </row>
    <row r="15" spans="1:27">
      <c r="A15" s="2" t="s">
        <v>194</v>
      </c>
      <c r="B15" s="16">
        <f t="shared" ref="B15:Y15" si="4">SUM(B12:B14)</f>
        <v>27025</v>
      </c>
      <c r="C15" s="16">
        <f t="shared" si="4"/>
        <v>27025</v>
      </c>
      <c r="D15" s="16">
        <f t="shared" si="4"/>
        <v>27025</v>
      </c>
      <c r="E15" s="16">
        <f t="shared" si="4"/>
        <v>33350</v>
      </c>
      <c r="F15" s="16">
        <f t="shared" si="4"/>
        <v>33350</v>
      </c>
      <c r="G15" s="16">
        <f t="shared" si="4"/>
        <v>43700</v>
      </c>
      <c r="H15" s="16">
        <f t="shared" si="4"/>
        <v>43700</v>
      </c>
      <c r="I15" s="16">
        <f t="shared" si="4"/>
        <v>51749.999999999993</v>
      </c>
      <c r="J15" s="16">
        <f t="shared" si="4"/>
        <v>51749.999999999993</v>
      </c>
      <c r="K15" s="16">
        <f t="shared" si="4"/>
        <v>56924.999999999993</v>
      </c>
      <c r="L15" s="16">
        <f t="shared" si="4"/>
        <v>56924.999999999993</v>
      </c>
      <c r="M15" s="16">
        <f t="shared" si="4"/>
        <v>56924.999999999993</v>
      </c>
      <c r="N15" s="16">
        <f t="shared" si="4"/>
        <v>58632.749999999993</v>
      </c>
      <c r="O15" s="16">
        <f t="shared" si="4"/>
        <v>58632.749999999993</v>
      </c>
      <c r="P15" s="16">
        <f t="shared" si="4"/>
        <v>58632.749999999993</v>
      </c>
      <c r="Q15" s="16">
        <f t="shared" si="4"/>
        <v>58632.749999999993</v>
      </c>
      <c r="R15" s="16">
        <f t="shared" si="4"/>
        <v>58632.749999999993</v>
      </c>
      <c r="S15" s="16">
        <f t="shared" si="4"/>
        <v>58632.749999999993</v>
      </c>
      <c r="T15" s="16">
        <f t="shared" si="4"/>
        <v>58632.749999999993</v>
      </c>
      <c r="U15" s="16">
        <f t="shared" si="4"/>
        <v>58632.749999999993</v>
      </c>
      <c r="V15" s="16">
        <f t="shared" si="4"/>
        <v>58632.749999999993</v>
      </c>
      <c r="W15" s="16">
        <f t="shared" si="4"/>
        <v>58632.749999999993</v>
      </c>
      <c r="X15" s="16">
        <f t="shared" si="4"/>
        <v>58632.749999999993</v>
      </c>
      <c r="Y15" s="16">
        <f t="shared" si="4"/>
        <v>58632.749999999993</v>
      </c>
      <c r="Z15" s="2"/>
      <c r="AA15" s="2"/>
    </row>
    <row r="16" spans="1:27">
      <c r="A16" s="2"/>
      <c r="B16" s="2"/>
      <c r="C16" s="2"/>
      <c r="D16" s="2"/>
      <c r="E16" s="2"/>
      <c r="F16" s="2"/>
      <c r="G16" s="2"/>
      <c r="H16" s="2"/>
      <c r="I16" s="2"/>
      <c r="J16" s="2"/>
      <c r="K16" s="2"/>
      <c r="L16" s="2"/>
      <c r="M16" s="2"/>
      <c r="N16" s="2"/>
      <c r="O16" s="2"/>
      <c r="P16" s="2"/>
      <c r="Q16" s="2"/>
      <c r="R16" s="2"/>
      <c r="S16" s="2"/>
      <c r="T16" s="2"/>
      <c r="U16" s="2"/>
      <c r="V16" s="2"/>
      <c r="W16" s="2"/>
      <c r="X16" s="2"/>
      <c r="Y16" s="2"/>
      <c r="Z16" s="2"/>
      <c r="AA16" s="2"/>
    </row>
    <row r="17" spans="1:27">
      <c r="A17" s="5" t="s">
        <v>195</v>
      </c>
      <c r="B17" s="5"/>
      <c r="C17" s="5"/>
      <c r="D17" s="5"/>
      <c r="E17" s="5"/>
      <c r="F17" s="5"/>
      <c r="G17" s="5"/>
      <c r="H17" s="5"/>
      <c r="I17" s="5"/>
      <c r="J17" s="5"/>
      <c r="K17" s="5"/>
      <c r="L17" s="5"/>
      <c r="M17" s="5"/>
      <c r="N17" s="5"/>
      <c r="O17" s="5"/>
      <c r="P17" s="5"/>
      <c r="Q17" s="5"/>
      <c r="R17" s="5"/>
      <c r="S17" s="5"/>
      <c r="T17" s="5"/>
      <c r="U17" s="5"/>
      <c r="V17" s="5"/>
      <c r="W17" s="5"/>
      <c r="X17" s="5"/>
      <c r="Y17" s="5"/>
      <c r="Z17" s="2"/>
      <c r="AA17" s="2"/>
    </row>
    <row r="18" spans="1:27">
      <c r="A18" s="1" t="s">
        <v>196</v>
      </c>
      <c r="B18" s="1" t="s">
        <v>197</v>
      </c>
      <c r="C18" s="1" t="s">
        <v>198</v>
      </c>
      <c r="D18" s="1" t="s">
        <v>199</v>
      </c>
      <c r="E18" s="1" t="s">
        <v>31</v>
      </c>
      <c r="F18" s="2"/>
      <c r="G18" s="2"/>
      <c r="H18" s="2"/>
      <c r="I18" s="2"/>
      <c r="J18" s="2"/>
      <c r="K18" s="2"/>
      <c r="L18" s="2"/>
      <c r="M18" s="2"/>
      <c r="N18" s="2"/>
      <c r="O18" s="2"/>
      <c r="P18" s="2"/>
      <c r="Q18" s="2"/>
      <c r="R18" s="2"/>
      <c r="S18" s="2"/>
      <c r="T18" s="2"/>
      <c r="U18" s="2"/>
      <c r="V18" s="2"/>
      <c r="W18" s="2"/>
      <c r="X18" s="2"/>
      <c r="Y18" s="2"/>
      <c r="Z18" s="2"/>
      <c r="AA18" s="2"/>
    </row>
    <row r="19" spans="1:27" ht="27.6">
      <c r="A19" s="2" t="s">
        <v>200</v>
      </c>
      <c r="B19" s="2" t="s">
        <v>201</v>
      </c>
      <c r="C19" s="2">
        <v>1</v>
      </c>
      <c r="D19" s="2">
        <v>8000</v>
      </c>
      <c r="E19" s="2" t="s">
        <v>202</v>
      </c>
      <c r="F19" s="2"/>
      <c r="G19" s="2"/>
      <c r="H19" s="2"/>
      <c r="I19" s="2"/>
      <c r="J19" s="2"/>
      <c r="K19" s="2"/>
      <c r="L19" s="2"/>
      <c r="M19" s="2"/>
      <c r="N19" s="2"/>
      <c r="O19" s="2"/>
      <c r="P19" s="2"/>
      <c r="Q19" s="2"/>
      <c r="R19" s="2"/>
      <c r="S19" s="2"/>
      <c r="T19" s="2"/>
      <c r="U19" s="2"/>
      <c r="V19" s="2"/>
      <c r="W19" s="2"/>
      <c r="X19" s="2"/>
      <c r="Y19" s="2"/>
      <c r="Z19" s="2"/>
      <c r="AA19" s="2"/>
    </row>
    <row r="20" spans="1:27" ht="27.6">
      <c r="A20" s="2" t="s">
        <v>203</v>
      </c>
      <c r="B20" s="2" t="s">
        <v>201</v>
      </c>
      <c r="C20" s="2">
        <v>4</v>
      </c>
      <c r="D20" s="2">
        <v>5500</v>
      </c>
      <c r="E20" s="2" t="s">
        <v>204</v>
      </c>
      <c r="F20" s="2"/>
      <c r="G20" s="2"/>
      <c r="H20" s="2"/>
      <c r="I20" s="2"/>
      <c r="J20" s="2"/>
      <c r="K20" s="2"/>
      <c r="L20" s="2"/>
      <c r="M20" s="2"/>
      <c r="N20" s="2"/>
      <c r="O20" s="2"/>
      <c r="P20" s="2"/>
      <c r="Q20" s="2"/>
      <c r="R20" s="2"/>
      <c r="S20" s="2"/>
      <c r="T20" s="2"/>
      <c r="U20" s="2"/>
      <c r="V20" s="2"/>
      <c r="W20" s="2"/>
      <c r="X20" s="2"/>
      <c r="Y20" s="2"/>
      <c r="Z20" s="2"/>
      <c r="AA20" s="2"/>
    </row>
    <row r="21" spans="1:27">
      <c r="A21" s="2" t="s">
        <v>205</v>
      </c>
      <c r="B21" s="2" t="s">
        <v>206</v>
      </c>
      <c r="C21" s="2">
        <v>1</v>
      </c>
      <c r="D21" s="2">
        <v>9000</v>
      </c>
      <c r="E21" s="2" t="s">
        <v>207</v>
      </c>
      <c r="F21" s="2"/>
      <c r="G21" s="2"/>
      <c r="H21" s="2"/>
      <c r="I21" s="2"/>
      <c r="J21" s="2"/>
      <c r="K21" s="2"/>
      <c r="L21" s="2"/>
      <c r="M21" s="2"/>
      <c r="N21" s="2"/>
      <c r="O21" s="2"/>
      <c r="P21" s="2"/>
      <c r="Q21" s="2"/>
      <c r="R21" s="2"/>
      <c r="S21" s="2"/>
      <c r="T21" s="2"/>
      <c r="U21" s="2"/>
      <c r="V21" s="2"/>
      <c r="W21" s="2"/>
      <c r="X21" s="2"/>
      <c r="Y21" s="2"/>
      <c r="Z21" s="2"/>
      <c r="AA21" s="2"/>
    </row>
    <row r="22" spans="1:27">
      <c r="A22" s="2" t="s">
        <v>208</v>
      </c>
      <c r="B22" s="2" t="s">
        <v>206</v>
      </c>
      <c r="C22" s="2">
        <v>6</v>
      </c>
      <c r="D22" s="2">
        <v>9000</v>
      </c>
      <c r="E22" s="2" t="s">
        <v>209</v>
      </c>
      <c r="F22" s="2"/>
      <c r="G22" s="2"/>
      <c r="H22" s="2"/>
      <c r="I22" s="2"/>
      <c r="J22" s="2"/>
      <c r="K22" s="2"/>
      <c r="L22" s="2"/>
      <c r="M22" s="2"/>
      <c r="N22" s="2"/>
      <c r="O22" s="2"/>
      <c r="P22" s="2"/>
      <c r="Q22" s="2"/>
      <c r="R22" s="2"/>
      <c r="S22" s="2"/>
      <c r="T22" s="2"/>
      <c r="U22" s="2"/>
      <c r="V22" s="2"/>
      <c r="W22" s="2"/>
      <c r="X22" s="2"/>
      <c r="Y22" s="2"/>
      <c r="Z22" s="2"/>
      <c r="AA22" s="2"/>
    </row>
    <row r="23" spans="1:27">
      <c r="A23" s="2" t="s">
        <v>210</v>
      </c>
      <c r="B23" s="2" t="s">
        <v>206</v>
      </c>
      <c r="C23" s="2">
        <v>8</v>
      </c>
      <c r="D23" s="2">
        <v>7000</v>
      </c>
      <c r="E23" s="2" t="s">
        <v>211</v>
      </c>
      <c r="F23" s="2"/>
      <c r="G23" s="2"/>
      <c r="H23" s="2"/>
      <c r="I23" s="2"/>
      <c r="J23" s="2"/>
      <c r="K23" s="2"/>
      <c r="L23" s="2"/>
      <c r="M23" s="2"/>
      <c r="N23" s="2"/>
      <c r="O23" s="2"/>
      <c r="P23" s="2"/>
      <c r="Q23" s="2"/>
      <c r="R23" s="2"/>
      <c r="S23" s="2"/>
      <c r="T23" s="2"/>
      <c r="U23" s="2"/>
      <c r="V23" s="2"/>
      <c r="W23" s="2"/>
      <c r="X23" s="2"/>
      <c r="Y23" s="2"/>
      <c r="Z23" s="2"/>
      <c r="AA23" s="2"/>
    </row>
    <row r="24" spans="1:27">
      <c r="A24" s="2" t="s">
        <v>212</v>
      </c>
      <c r="B24" s="2" t="s">
        <v>213</v>
      </c>
      <c r="C24" s="2">
        <v>1</v>
      </c>
      <c r="D24" s="2">
        <v>6500</v>
      </c>
      <c r="E24" s="2" t="s">
        <v>214</v>
      </c>
      <c r="F24" s="2"/>
      <c r="G24" s="2"/>
      <c r="H24" s="2"/>
      <c r="I24" s="2"/>
      <c r="J24" s="2"/>
      <c r="K24" s="2"/>
      <c r="L24" s="2"/>
      <c r="M24" s="2"/>
      <c r="N24" s="2"/>
      <c r="O24" s="2"/>
      <c r="P24" s="2"/>
      <c r="Q24" s="2"/>
      <c r="R24" s="2"/>
      <c r="S24" s="2"/>
      <c r="T24" s="2"/>
      <c r="U24" s="2"/>
      <c r="V24" s="2"/>
      <c r="W24" s="2"/>
      <c r="X24" s="2"/>
      <c r="Y24" s="2"/>
      <c r="Z24" s="2"/>
      <c r="AA24" s="2"/>
    </row>
    <row r="25" spans="1:27">
      <c r="A25" s="2" t="s">
        <v>215</v>
      </c>
      <c r="B25" s="2" t="s">
        <v>213</v>
      </c>
      <c r="C25" s="2">
        <v>10</v>
      </c>
      <c r="D25" s="2">
        <v>4500</v>
      </c>
      <c r="E25" s="2" t="s">
        <v>216</v>
      </c>
      <c r="F25" s="2"/>
      <c r="G25" s="2"/>
      <c r="H25" s="2"/>
      <c r="I25" s="2"/>
      <c r="J25" s="2"/>
      <c r="K25" s="2"/>
      <c r="L25" s="2"/>
      <c r="M25" s="2"/>
      <c r="N25" s="2"/>
      <c r="O25" s="2"/>
      <c r="P25" s="2"/>
      <c r="Q25" s="2"/>
      <c r="R25" s="2"/>
      <c r="S25" s="2"/>
      <c r="T25" s="2"/>
      <c r="U25" s="2"/>
      <c r="V25" s="2"/>
      <c r="W25" s="2"/>
      <c r="X25" s="2"/>
      <c r="Y25" s="2"/>
      <c r="Z25" s="2"/>
      <c r="AA25" s="2"/>
    </row>
    <row r="26" spans="1:27">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spans="1: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spans="1:27">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spans="1:27">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spans="1:27">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spans="1:27">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spans="1:27">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spans="1:27">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spans="1:27">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spans="1:27">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c r="A80" s="2"/>
      <c r="B80" s="2"/>
      <c r="C80" s="2"/>
      <c r="D80" s="2"/>
      <c r="E80" s="2"/>
      <c r="F80" s="2"/>
      <c r="G80" s="2"/>
      <c r="H80" s="2"/>
      <c r="I80" s="2"/>
      <c r="J80" s="2"/>
      <c r="K80" s="2"/>
      <c r="L80" s="2"/>
      <c r="M80" s="2"/>
      <c r="N80" s="2"/>
      <c r="O80" s="2"/>
      <c r="P80" s="2"/>
      <c r="Q80" s="2"/>
      <c r="R80" s="2"/>
      <c r="S80" s="2"/>
      <c r="T80" s="2"/>
      <c r="U80" s="2"/>
      <c r="V80" s="2"/>
      <c r="W80" s="2"/>
      <c r="X80" s="2"/>
      <c r="Y80" s="2"/>
      <c r="Z80" s="2"/>
      <c r="AA80" s="2"/>
    </row>
  </sheetData>
  <mergeCells count="2">
    <mergeCell ref="A2:Y2"/>
    <mergeCell ref="A1:Y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80"/>
  <sheetViews>
    <sheetView showGridLines="0" workbookViewId="0">
      <selection sqref="A1:Y1"/>
    </sheetView>
  </sheetViews>
  <sheetFormatPr defaultRowHeight="13.8"/>
  <cols>
    <col min="1" max="1" width="34" customWidth="1"/>
    <col min="2" max="25" width="13" customWidth="1"/>
  </cols>
  <sheetData>
    <row r="1" spans="1:27">
      <c r="A1" s="55" t="s">
        <v>217</v>
      </c>
      <c r="B1" s="56"/>
      <c r="C1" s="56"/>
      <c r="D1" s="56"/>
      <c r="E1" s="56"/>
      <c r="F1" s="56"/>
      <c r="G1" s="56"/>
      <c r="H1" s="56"/>
      <c r="I1" s="56"/>
      <c r="J1" s="56"/>
      <c r="K1" s="56"/>
      <c r="L1" s="56"/>
      <c r="M1" s="56"/>
      <c r="N1" s="56"/>
      <c r="O1" s="56"/>
      <c r="P1" s="56"/>
      <c r="Q1" s="56"/>
      <c r="R1" s="56"/>
      <c r="S1" s="56"/>
      <c r="T1" s="56"/>
      <c r="U1" s="56"/>
      <c r="V1" s="56"/>
      <c r="W1" s="56"/>
      <c r="X1" s="56"/>
      <c r="Y1" s="56"/>
      <c r="Z1" s="2"/>
      <c r="AA1" s="2"/>
    </row>
    <row r="2" spans="1:27">
      <c r="A2" s="59" t="s">
        <v>218</v>
      </c>
      <c r="B2" s="56"/>
      <c r="C2" s="56"/>
      <c r="D2" s="56"/>
      <c r="E2" s="56"/>
      <c r="F2" s="56"/>
      <c r="G2" s="56"/>
      <c r="H2" s="56"/>
      <c r="I2" s="56"/>
      <c r="J2" s="56"/>
      <c r="K2" s="56"/>
      <c r="L2" s="56"/>
      <c r="M2" s="56"/>
      <c r="N2" s="56"/>
      <c r="O2" s="56"/>
      <c r="P2" s="56"/>
      <c r="Q2" s="56"/>
      <c r="R2" s="56"/>
      <c r="S2" s="56"/>
      <c r="T2" s="56"/>
      <c r="U2" s="56"/>
      <c r="V2" s="56"/>
      <c r="W2" s="56"/>
      <c r="X2" s="56"/>
      <c r="Y2" s="56"/>
      <c r="Z2" s="2"/>
      <c r="AA2" s="2"/>
    </row>
    <row r="3" spans="1:27">
      <c r="A3" s="2"/>
      <c r="B3" s="2"/>
      <c r="C3" s="2"/>
      <c r="D3" s="2"/>
      <c r="E3" s="2"/>
      <c r="F3" s="2"/>
      <c r="G3" s="2"/>
      <c r="H3" s="2"/>
      <c r="I3" s="2"/>
      <c r="J3" s="2"/>
      <c r="K3" s="2"/>
      <c r="L3" s="2"/>
      <c r="M3" s="2"/>
      <c r="N3" s="2"/>
      <c r="O3" s="2"/>
      <c r="P3" s="2"/>
      <c r="Q3" s="2"/>
      <c r="R3" s="2"/>
      <c r="S3" s="2"/>
      <c r="T3" s="2"/>
      <c r="U3" s="2"/>
      <c r="V3" s="2"/>
      <c r="W3" s="2"/>
      <c r="X3" s="2"/>
      <c r="Y3" s="2"/>
      <c r="Z3" s="2"/>
      <c r="AA3" s="2"/>
    </row>
    <row r="4" spans="1:27">
      <c r="A4" s="1" t="s">
        <v>121</v>
      </c>
      <c r="B4" s="1" t="s">
        <v>122</v>
      </c>
      <c r="C4" s="1" t="s">
        <v>123</v>
      </c>
      <c r="D4" s="1" t="s">
        <v>124</v>
      </c>
      <c r="E4" s="1" t="s">
        <v>125</v>
      </c>
      <c r="F4" s="1" t="s">
        <v>126</v>
      </c>
      <c r="G4" s="1" t="s">
        <v>127</v>
      </c>
      <c r="H4" s="1" t="s">
        <v>128</v>
      </c>
      <c r="I4" s="1" t="s">
        <v>129</v>
      </c>
      <c r="J4" s="1" t="s">
        <v>130</v>
      </c>
      <c r="K4" s="1" t="s">
        <v>131</v>
      </c>
      <c r="L4" s="1" t="s">
        <v>132</v>
      </c>
      <c r="M4" s="1" t="s">
        <v>133</v>
      </c>
      <c r="N4" s="1" t="s">
        <v>134</v>
      </c>
      <c r="O4" s="1" t="s">
        <v>135</v>
      </c>
      <c r="P4" s="1" t="s">
        <v>136</v>
      </c>
      <c r="Q4" s="1" t="s">
        <v>137</v>
      </c>
      <c r="R4" s="1" t="s">
        <v>138</v>
      </c>
      <c r="S4" s="1" t="s">
        <v>139</v>
      </c>
      <c r="T4" s="1" t="s">
        <v>140</v>
      </c>
      <c r="U4" s="1" t="s">
        <v>141</v>
      </c>
      <c r="V4" s="1" t="s">
        <v>142</v>
      </c>
      <c r="W4" s="1" t="s">
        <v>143</v>
      </c>
      <c r="X4" s="1" t="s">
        <v>144</v>
      </c>
      <c r="Y4" s="1" t="s">
        <v>145</v>
      </c>
      <c r="Z4" s="2"/>
      <c r="AA4" s="2"/>
    </row>
    <row r="5" spans="1:27">
      <c r="A5" s="5" t="s">
        <v>201</v>
      </c>
      <c r="B5" s="5"/>
      <c r="C5" s="5"/>
      <c r="D5" s="5"/>
      <c r="E5" s="5"/>
      <c r="F5" s="5"/>
      <c r="G5" s="5"/>
      <c r="H5" s="5"/>
      <c r="I5" s="5"/>
      <c r="J5" s="5"/>
      <c r="K5" s="5"/>
      <c r="L5" s="5"/>
      <c r="M5" s="5"/>
      <c r="N5" s="5"/>
      <c r="O5" s="5"/>
      <c r="P5" s="5"/>
      <c r="Q5" s="5"/>
      <c r="R5" s="5"/>
      <c r="S5" s="5"/>
      <c r="T5" s="5"/>
      <c r="U5" s="5"/>
      <c r="V5" s="5"/>
      <c r="W5" s="5"/>
      <c r="X5" s="5"/>
      <c r="Y5" s="5"/>
      <c r="Z5" s="2"/>
      <c r="AA5" s="2"/>
    </row>
    <row r="6" spans="1:27">
      <c r="A6" s="2" t="s">
        <v>219</v>
      </c>
      <c r="B6" s="16">
        <f>Headcount!B12</f>
        <v>9200</v>
      </c>
      <c r="C6" s="16">
        <f>Headcount!C12</f>
        <v>9200</v>
      </c>
      <c r="D6" s="16">
        <f>Headcount!D12</f>
        <v>9200</v>
      </c>
      <c r="E6" s="16">
        <f>Headcount!E12</f>
        <v>15524.999999999998</v>
      </c>
      <c r="F6" s="16">
        <f>Headcount!F12</f>
        <v>15524.999999999998</v>
      </c>
      <c r="G6" s="16">
        <f>Headcount!G12</f>
        <v>15524.999999999998</v>
      </c>
      <c r="H6" s="16">
        <f>Headcount!H12</f>
        <v>15524.999999999998</v>
      </c>
      <c r="I6" s="16">
        <f>Headcount!I12</f>
        <v>15524.999999999998</v>
      </c>
      <c r="J6" s="16">
        <f>Headcount!J12</f>
        <v>15524.999999999998</v>
      </c>
      <c r="K6" s="16">
        <f>Headcount!K12</f>
        <v>15524.999999999998</v>
      </c>
      <c r="L6" s="16">
        <f>Headcount!L12</f>
        <v>15524.999999999998</v>
      </c>
      <c r="M6" s="16">
        <f>Headcount!M12</f>
        <v>15524.999999999998</v>
      </c>
      <c r="N6" s="16">
        <f>Headcount!N12</f>
        <v>15990.749999999998</v>
      </c>
      <c r="O6" s="16">
        <f>Headcount!O12</f>
        <v>15990.749999999998</v>
      </c>
      <c r="P6" s="16">
        <f>Headcount!P12</f>
        <v>15990.749999999998</v>
      </c>
      <c r="Q6" s="16">
        <f>Headcount!Q12</f>
        <v>15990.749999999998</v>
      </c>
      <c r="R6" s="16">
        <f>Headcount!R12</f>
        <v>15990.749999999998</v>
      </c>
      <c r="S6" s="16">
        <f>Headcount!S12</f>
        <v>15990.749999999998</v>
      </c>
      <c r="T6" s="16">
        <f>Headcount!T12</f>
        <v>15990.749999999998</v>
      </c>
      <c r="U6" s="16">
        <f>Headcount!U12</f>
        <v>15990.749999999998</v>
      </c>
      <c r="V6" s="16">
        <f>Headcount!V12</f>
        <v>15990.749999999998</v>
      </c>
      <c r="W6" s="16">
        <f>Headcount!W12</f>
        <v>15990.749999999998</v>
      </c>
      <c r="X6" s="16">
        <f>Headcount!X12</f>
        <v>15990.749999999998</v>
      </c>
      <c r="Y6" s="16">
        <f>Headcount!Y12</f>
        <v>15990.749999999998</v>
      </c>
      <c r="Z6" s="2"/>
      <c r="AA6" s="2"/>
    </row>
    <row r="7" spans="1:27">
      <c r="A7" s="2" t="s">
        <v>220</v>
      </c>
      <c r="B7" s="16">
        <f>Assumptions!$C$34*POWER(1+Assumptions!$C$38,1-1)</f>
        <v>5000</v>
      </c>
      <c r="C7" s="16">
        <f>Assumptions!$C$34*POWER(1+Assumptions!$C$38,2-1)</f>
        <v>5050</v>
      </c>
      <c r="D7" s="16">
        <f>Assumptions!$C$34*POWER(1+Assumptions!$C$38,3-1)</f>
        <v>5100.5</v>
      </c>
      <c r="E7" s="16">
        <f>Assumptions!$C$34*POWER(1+Assumptions!$C$38,4-1)</f>
        <v>5151.5049999999992</v>
      </c>
      <c r="F7" s="16">
        <f>Assumptions!$C$34*POWER(1+Assumptions!$C$38,5-1)</f>
        <v>5203.0200500000001</v>
      </c>
      <c r="G7" s="16">
        <f>Assumptions!$C$34*POWER(1+Assumptions!$C$38,6-1)</f>
        <v>5255.0502504999995</v>
      </c>
      <c r="H7" s="16">
        <f>Assumptions!$C$34*POWER(1+Assumptions!$C$38,7-1)</f>
        <v>5307.600753005001</v>
      </c>
      <c r="I7" s="16">
        <f>Assumptions!$C$34*POWER(1+Assumptions!$C$38,8-1)</f>
        <v>5360.6767605350487</v>
      </c>
      <c r="J7" s="16">
        <f>Assumptions!$C$34*POWER(1+Assumptions!$C$38,9-1)</f>
        <v>5414.2835281404014</v>
      </c>
      <c r="K7" s="16">
        <f>Assumptions!$C$34*POWER(1+Assumptions!$C$38,10-1)</f>
        <v>5468.4263634218059</v>
      </c>
      <c r="L7" s="16">
        <f>Assumptions!$C$34*POWER(1+Assumptions!$C$38,11-1)</f>
        <v>5523.110627056024</v>
      </c>
      <c r="M7" s="16">
        <f>Assumptions!$C$34*POWER(1+Assumptions!$C$38,12-1)</f>
        <v>5578.3417333265825</v>
      </c>
      <c r="N7" s="16">
        <f>Assumptions!$C$34*POWER(1+Assumptions!$C$38,13-1)</f>
        <v>5634.1251506598492</v>
      </c>
      <c r="O7" s="16">
        <f>Assumptions!$C$34*POWER(1+Assumptions!$C$38,14-1)</f>
        <v>5690.4664021664476</v>
      </c>
      <c r="P7" s="16">
        <f>Assumptions!$C$34*POWER(1+Assumptions!$C$38,15-1)</f>
        <v>5747.3710661881132</v>
      </c>
      <c r="Q7" s="16">
        <f>Assumptions!$C$34*POWER(1+Assumptions!$C$38,16-1)</f>
        <v>5804.8447768499918</v>
      </c>
      <c r="R7" s="16">
        <f>Assumptions!$C$34*POWER(1+Assumptions!$C$38,17-1)</f>
        <v>5862.8932246184941</v>
      </c>
      <c r="S7" s="16">
        <f>Assumptions!$C$34*POWER(1+Assumptions!$C$38,18-1)</f>
        <v>5921.5221568646793</v>
      </c>
      <c r="T7" s="16">
        <f>Assumptions!$C$34*POWER(1+Assumptions!$C$38,19-1)</f>
        <v>5980.7373784333258</v>
      </c>
      <c r="U7" s="16">
        <f>Assumptions!$C$34*POWER(1+Assumptions!$C$38,20-1)</f>
        <v>6040.5447522176582</v>
      </c>
      <c r="V7" s="16">
        <f>Assumptions!$C$34*POWER(1+Assumptions!$C$38,21-1)</f>
        <v>6100.9501997398356</v>
      </c>
      <c r="W7" s="16">
        <f>Assumptions!$C$34*POWER(1+Assumptions!$C$38,22-1)</f>
        <v>6161.9597017372325</v>
      </c>
      <c r="X7" s="16">
        <f>Assumptions!$C$34*POWER(1+Assumptions!$C$38,23-1)</f>
        <v>6223.5792987546065</v>
      </c>
      <c r="Y7" s="16">
        <f>Assumptions!$C$34*POWER(1+Assumptions!$C$38,24-1)</f>
        <v>6285.8150917421517</v>
      </c>
      <c r="Z7" s="2"/>
      <c r="AA7" s="2"/>
    </row>
    <row r="8" spans="1:27">
      <c r="A8" s="2" t="s">
        <v>221</v>
      </c>
      <c r="B8" s="16">
        <f>'Revenue Model'!B7*Assumptions!$C$35</f>
        <v>9600</v>
      </c>
      <c r="C8" s="16">
        <f>'Revenue Model'!C7*Assumptions!$C$35</f>
        <v>10080</v>
      </c>
      <c r="D8" s="16">
        <f>'Revenue Model'!D7*Assumptions!$C$35</f>
        <v>10584</v>
      </c>
      <c r="E8" s="16">
        <f>'Revenue Model'!E7*Assumptions!$C$35</f>
        <v>11113.2</v>
      </c>
      <c r="F8" s="16">
        <f>'Revenue Model'!F7*Assumptions!$C$35</f>
        <v>11668.860000000002</v>
      </c>
      <c r="G8" s="16">
        <f>'Revenue Model'!G7*Assumptions!$C$35</f>
        <v>12252.303000000004</v>
      </c>
      <c r="H8" s="16">
        <f>'Revenue Model'!H7*Assumptions!$C$35</f>
        <v>12864.918150000003</v>
      </c>
      <c r="I8" s="16">
        <f>'Revenue Model'!I7*Assumptions!$C$35</f>
        <v>13508.164057500004</v>
      </c>
      <c r="J8" s="16">
        <f>'Revenue Model'!J7*Assumptions!$C$35</f>
        <v>14183.572260375005</v>
      </c>
      <c r="K8" s="16">
        <f>'Revenue Model'!K7*Assumptions!$C$35</f>
        <v>14892.750873393756</v>
      </c>
      <c r="L8" s="16">
        <f>'Revenue Model'!L7*Assumptions!$C$35</f>
        <v>15637.388417063443</v>
      </c>
      <c r="M8" s="16">
        <f>'Revenue Model'!M7*Assumptions!$C$35</f>
        <v>16419.257837916615</v>
      </c>
      <c r="N8" s="16">
        <f>'Revenue Model'!N7*Assumptions!$C$35</f>
        <v>17240.220729812449</v>
      </c>
      <c r="O8" s="16">
        <f>'Revenue Model'!O7*Assumptions!$C$35</f>
        <v>18102.231766303074</v>
      </c>
      <c r="P8" s="16">
        <f>'Revenue Model'!P7*Assumptions!$C$35</f>
        <v>19007.343354618228</v>
      </c>
      <c r="Q8" s="16">
        <f>'Revenue Model'!Q7*Assumptions!$C$35</f>
        <v>19957.710522349142</v>
      </c>
      <c r="R8" s="16">
        <f>'Revenue Model'!R7*Assumptions!$C$35</f>
        <v>20955.596048466599</v>
      </c>
      <c r="S8" s="16">
        <f>'Revenue Model'!S7*Assumptions!$C$35</f>
        <v>22003.37585088993</v>
      </c>
      <c r="T8" s="16">
        <f>'Revenue Model'!T7*Assumptions!$C$35</f>
        <v>23103.544643434427</v>
      </c>
      <c r="U8" s="16">
        <f>'Revenue Model'!U7*Assumptions!$C$35</f>
        <v>24258.721875606148</v>
      </c>
      <c r="V8" s="16">
        <f>'Revenue Model'!V7*Assumptions!$C$35</f>
        <v>25471.657969386459</v>
      </c>
      <c r="W8" s="16">
        <f>'Revenue Model'!W7*Assumptions!$C$35</f>
        <v>26745.240867855784</v>
      </c>
      <c r="X8" s="16">
        <f>'Revenue Model'!X7*Assumptions!$C$35</f>
        <v>28082.502911248575</v>
      </c>
      <c r="Y8" s="16">
        <f>'Revenue Model'!Y7*Assumptions!$C$35</f>
        <v>29486.628056811001</v>
      </c>
      <c r="Z8" s="2"/>
      <c r="AA8" s="2"/>
    </row>
    <row r="9" spans="1:27">
      <c r="A9" s="2" t="s">
        <v>222</v>
      </c>
      <c r="B9" s="16">
        <f t="shared" ref="B9:Y9" si="0">SUM(B6:B8)</f>
        <v>23800</v>
      </c>
      <c r="C9" s="16">
        <f t="shared" si="0"/>
        <v>24330</v>
      </c>
      <c r="D9" s="16">
        <f t="shared" si="0"/>
        <v>24884.5</v>
      </c>
      <c r="E9" s="16">
        <f t="shared" si="0"/>
        <v>31789.704999999998</v>
      </c>
      <c r="F9" s="16">
        <f t="shared" si="0"/>
        <v>32396.88005</v>
      </c>
      <c r="G9" s="16">
        <f t="shared" si="0"/>
        <v>33032.353250500004</v>
      </c>
      <c r="H9" s="16">
        <f t="shared" si="0"/>
        <v>33697.518903005002</v>
      </c>
      <c r="I9" s="16">
        <f t="shared" si="0"/>
        <v>34393.840818035053</v>
      </c>
      <c r="J9" s="16">
        <f t="shared" si="0"/>
        <v>35122.855788515408</v>
      </c>
      <c r="K9" s="16">
        <f t="shared" si="0"/>
        <v>35886.177236815558</v>
      </c>
      <c r="L9" s="16">
        <f t="shared" si="0"/>
        <v>36685.499044119468</v>
      </c>
      <c r="M9" s="16">
        <f t="shared" si="0"/>
        <v>37522.599571243198</v>
      </c>
      <c r="N9" s="16">
        <f t="shared" si="0"/>
        <v>38865.095880472298</v>
      </c>
      <c r="O9" s="16">
        <f t="shared" si="0"/>
        <v>39783.44816846952</v>
      </c>
      <c r="P9" s="16">
        <f t="shared" si="0"/>
        <v>40745.46442080634</v>
      </c>
      <c r="Q9" s="16">
        <f t="shared" si="0"/>
        <v>41753.305299199128</v>
      </c>
      <c r="R9" s="16">
        <f t="shared" si="0"/>
        <v>42809.239273085092</v>
      </c>
      <c r="S9" s="16">
        <f t="shared" si="0"/>
        <v>43915.648007754608</v>
      </c>
      <c r="T9" s="16">
        <f t="shared" si="0"/>
        <v>45075.032021867752</v>
      </c>
      <c r="U9" s="16">
        <f t="shared" si="0"/>
        <v>46290.016627823803</v>
      </c>
      <c r="V9" s="16">
        <f t="shared" si="0"/>
        <v>47563.358169126295</v>
      </c>
      <c r="W9" s="16">
        <f t="shared" si="0"/>
        <v>48897.950569593013</v>
      </c>
      <c r="X9" s="16">
        <f t="shared" si="0"/>
        <v>50296.83221000318</v>
      </c>
      <c r="Y9" s="16">
        <f t="shared" si="0"/>
        <v>51763.193148553153</v>
      </c>
      <c r="Z9" s="2"/>
      <c r="AA9" s="2"/>
    </row>
    <row r="10" spans="1:27">
      <c r="A10" s="2"/>
      <c r="B10" s="16"/>
      <c r="C10" s="16"/>
      <c r="D10" s="16"/>
      <c r="E10" s="16"/>
      <c r="F10" s="16"/>
      <c r="G10" s="16"/>
      <c r="H10" s="16"/>
      <c r="I10" s="16"/>
      <c r="J10" s="16"/>
      <c r="K10" s="16"/>
      <c r="L10" s="16"/>
      <c r="M10" s="16"/>
      <c r="N10" s="16"/>
      <c r="O10" s="16"/>
      <c r="P10" s="16"/>
      <c r="Q10" s="16"/>
      <c r="R10" s="16"/>
      <c r="S10" s="16"/>
      <c r="T10" s="16"/>
      <c r="U10" s="16"/>
      <c r="V10" s="16"/>
      <c r="W10" s="16"/>
      <c r="X10" s="16"/>
      <c r="Y10" s="16"/>
      <c r="Z10" s="2"/>
      <c r="AA10" s="2"/>
    </row>
    <row r="11" spans="1:27">
      <c r="A11" s="5" t="s">
        <v>206</v>
      </c>
      <c r="B11" s="12"/>
      <c r="C11" s="12"/>
      <c r="D11" s="12"/>
      <c r="E11" s="12"/>
      <c r="F11" s="12"/>
      <c r="G11" s="12"/>
      <c r="H11" s="12"/>
      <c r="I11" s="12"/>
      <c r="J11" s="12"/>
      <c r="K11" s="12"/>
      <c r="L11" s="12"/>
      <c r="M11" s="12"/>
      <c r="N11" s="12"/>
      <c r="O11" s="12"/>
      <c r="P11" s="12"/>
      <c r="Q11" s="12"/>
      <c r="R11" s="12"/>
      <c r="S11" s="12"/>
      <c r="T11" s="12"/>
      <c r="U11" s="12"/>
      <c r="V11" s="12"/>
      <c r="W11" s="12"/>
      <c r="X11" s="12"/>
      <c r="Y11" s="12"/>
      <c r="Z11" s="2"/>
      <c r="AA11" s="2"/>
    </row>
    <row r="12" spans="1:27">
      <c r="A12" s="2" t="s">
        <v>223</v>
      </c>
      <c r="B12" s="16">
        <f>Headcount!B13</f>
        <v>10350</v>
      </c>
      <c r="C12" s="16">
        <f>Headcount!C13</f>
        <v>10350</v>
      </c>
      <c r="D12" s="16">
        <f>Headcount!D13</f>
        <v>10350</v>
      </c>
      <c r="E12" s="16">
        <f>Headcount!E13</f>
        <v>10350</v>
      </c>
      <c r="F12" s="16">
        <f>Headcount!F13</f>
        <v>10350</v>
      </c>
      <c r="G12" s="16">
        <f>Headcount!G13</f>
        <v>20700</v>
      </c>
      <c r="H12" s="16">
        <f>Headcount!H13</f>
        <v>20700</v>
      </c>
      <c r="I12" s="16">
        <f>Headcount!I13</f>
        <v>28749.999999999996</v>
      </c>
      <c r="J12" s="16">
        <f>Headcount!J13</f>
        <v>28749.999999999996</v>
      </c>
      <c r="K12" s="16">
        <f>Headcount!K13</f>
        <v>28749.999999999996</v>
      </c>
      <c r="L12" s="16">
        <f>Headcount!L13</f>
        <v>28749.999999999996</v>
      </c>
      <c r="M12" s="16">
        <f>Headcount!M13</f>
        <v>28749.999999999996</v>
      </c>
      <c r="N12" s="16">
        <f>Headcount!N13</f>
        <v>29612.499999999996</v>
      </c>
      <c r="O12" s="16">
        <f>Headcount!O13</f>
        <v>29612.499999999996</v>
      </c>
      <c r="P12" s="16">
        <f>Headcount!P13</f>
        <v>29612.499999999996</v>
      </c>
      <c r="Q12" s="16">
        <f>Headcount!Q13</f>
        <v>29612.499999999996</v>
      </c>
      <c r="R12" s="16">
        <f>Headcount!R13</f>
        <v>29612.499999999996</v>
      </c>
      <c r="S12" s="16">
        <f>Headcount!S13</f>
        <v>29612.499999999996</v>
      </c>
      <c r="T12" s="16">
        <f>Headcount!T13</f>
        <v>29612.499999999996</v>
      </c>
      <c r="U12" s="16">
        <f>Headcount!U13</f>
        <v>29612.499999999996</v>
      </c>
      <c r="V12" s="16">
        <f>Headcount!V13</f>
        <v>29612.499999999996</v>
      </c>
      <c r="W12" s="16">
        <f>Headcount!W13</f>
        <v>29612.499999999996</v>
      </c>
      <c r="X12" s="16">
        <f>Headcount!X13</f>
        <v>29612.499999999996</v>
      </c>
      <c r="Y12" s="16">
        <f>Headcount!Y13</f>
        <v>29612.499999999996</v>
      </c>
      <c r="Z12" s="2"/>
      <c r="AA12" s="2"/>
    </row>
    <row r="13" spans="1:27">
      <c r="A13" s="2" t="s">
        <v>224</v>
      </c>
      <c r="B13" s="16">
        <f>Assumptions!$C$36*POWER(1+Assumptions!$C$38,1-1)</f>
        <v>4000</v>
      </c>
      <c r="C13" s="16">
        <f>Assumptions!$C$36*POWER(1+Assumptions!$C$38,2-1)</f>
        <v>4040</v>
      </c>
      <c r="D13" s="16">
        <f>Assumptions!$C$36*POWER(1+Assumptions!$C$38,3-1)</f>
        <v>4080.4</v>
      </c>
      <c r="E13" s="16">
        <f>Assumptions!$C$36*POWER(1+Assumptions!$C$38,4-1)</f>
        <v>4121.2039999999997</v>
      </c>
      <c r="F13" s="16">
        <f>Assumptions!$C$36*POWER(1+Assumptions!$C$38,5-1)</f>
        <v>4162.4160400000001</v>
      </c>
      <c r="G13" s="16">
        <f>Assumptions!$C$36*POWER(1+Assumptions!$C$38,6-1)</f>
        <v>4204.0402003999998</v>
      </c>
      <c r="H13" s="16">
        <f>Assumptions!$C$36*POWER(1+Assumptions!$C$38,7-1)</f>
        <v>4246.0806024040003</v>
      </c>
      <c r="I13" s="16">
        <f>Assumptions!$C$36*POWER(1+Assumptions!$C$38,8-1)</f>
        <v>4288.5414084280392</v>
      </c>
      <c r="J13" s="16">
        <f>Assumptions!$C$36*POWER(1+Assumptions!$C$38,9-1)</f>
        <v>4331.4268225123205</v>
      </c>
      <c r="K13" s="16">
        <f>Assumptions!$C$36*POWER(1+Assumptions!$C$38,10-1)</f>
        <v>4374.7410907374442</v>
      </c>
      <c r="L13" s="16">
        <f>Assumptions!$C$36*POWER(1+Assumptions!$C$38,11-1)</f>
        <v>4418.4885016448188</v>
      </c>
      <c r="M13" s="16">
        <f>Assumptions!$C$36*POWER(1+Assumptions!$C$38,12-1)</f>
        <v>4462.6733866612658</v>
      </c>
      <c r="N13" s="16">
        <f>Assumptions!$C$36*POWER(1+Assumptions!$C$38,13-1)</f>
        <v>4507.3001205278788</v>
      </c>
      <c r="O13" s="16">
        <f>Assumptions!$C$36*POWER(1+Assumptions!$C$38,14-1)</f>
        <v>4552.3731217331579</v>
      </c>
      <c r="P13" s="16">
        <f>Assumptions!$C$36*POWER(1+Assumptions!$C$38,15-1)</f>
        <v>4597.89685295049</v>
      </c>
      <c r="Q13" s="16">
        <f>Assumptions!$C$36*POWER(1+Assumptions!$C$38,16-1)</f>
        <v>4643.8758214799936</v>
      </c>
      <c r="R13" s="16">
        <f>Assumptions!$C$36*POWER(1+Assumptions!$C$38,17-1)</f>
        <v>4690.3145796947947</v>
      </c>
      <c r="S13" s="16">
        <f>Assumptions!$C$36*POWER(1+Assumptions!$C$38,18-1)</f>
        <v>4737.2177254917433</v>
      </c>
      <c r="T13" s="16">
        <f>Assumptions!$C$36*POWER(1+Assumptions!$C$38,19-1)</f>
        <v>4784.5899027466612</v>
      </c>
      <c r="U13" s="16">
        <f>Assumptions!$C$36*POWER(1+Assumptions!$C$38,20-1)</f>
        <v>4832.435801774126</v>
      </c>
      <c r="V13" s="16">
        <f>Assumptions!$C$36*POWER(1+Assumptions!$C$38,21-1)</f>
        <v>4880.7601597918683</v>
      </c>
      <c r="W13" s="16">
        <f>Assumptions!$C$36*POWER(1+Assumptions!$C$38,22-1)</f>
        <v>4929.567761389786</v>
      </c>
      <c r="X13" s="16">
        <f>Assumptions!$C$36*POWER(1+Assumptions!$C$38,23-1)</f>
        <v>4978.863439003685</v>
      </c>
      <c r="Y13" s="16">
        <f>Assumptions!$C$36*POWER(1+Assumptions!$C$38,24-1)</f>
        <v>5028.6520733937214</v>
      </c>
      <c r="Z13" s="2"/>
      <c r="AA13" s="2"/>
    </row>
    <row r="14" spans="1:27">
      <c r="A14" s="2" t="s">
        <v>225</v>
      </c>
      <c r="B14" s="16">
        <f t="shared" ref="B14:Y14" si="1">SUM(B12:B13)</f>
        <v>14350</v>
      </c>
      <c r="C14" s="16">
        <f t="shared" si="1"/>
        <v>14390</v>
      </c>
      <c r="D14" s="16">
        <f t="shared" si="1"/>
        <v>14430.4</v>
      </c>
      <c r="E14" s="16">
        <f t="shared" si="1"/>
        <v>14471.204</v>
      </c>
      <c r="F14" s="16">
        <f t="shared" si="1"/>
        <v>14512.41604</v>
      </c>
      <c r="G14" s="16">
        <f t="shared" si="1"/>
        <v>24904.040200399999</v>
      </c>
      <c r="H14" s="16">
        <f t="shared" si="1"/>
        <v>24946.080602403999</v>
      </c>
      <c r="I14" s="16">
        <f t="shared" si="1"/>
        <v>33038.541408428035</v>
      </c>
      <c r="J14" s="16">
        <f t="shared" si="1"/>
        <v>33081.426822512316</v>
      </c>
      <c r="K14" s="16">
        <f t="shared" si="1"/>
        <v>33124.741090737443</v>
      </c>
      <c r="L14" s="16">
        <f t="shared" si="1"/>
        <v>33168.488501644817</v>
      </c>
      <c r="M14" s="16">
        <f t="shared" si="1"/>
        <v>33212.673386661263</v>
      </c>
      <c r="N14" s="16">
        <f t="shared" si="1"/>
        <v>34119.800120527878</v>
      </c>
      <c r="O14" s="16">
        <f t="shared" si="1"/>
        <v>34164.873121733151</v>
      </c>
      <c r="P14" s="16">
        <f t="shared" si="1"/>
        <v>34210.396852950485</v>
      </c>
      <c r="Q14" s="16">
        <f t="shared" si="1"/>
        <v>34256.375821479989</v>
      </c>
      <c r="R14" s="16">
        <f t="shared" si="1"/>
        <v>34302.814579694794</v>
      </c>
      <c r="S14" s="16">
        <f t="shared" si="1"/>
        <v>34349.717725491741</v>
      </c>
      <c r="T14" s="16">
        <f t="shared" si="1"/>
        <v>34397.089902746658</v>
      </c>
      <c r="U14" s="16">
        <f t="shared" si="1"/>
        <v>34444.935801774125</v>
      </c>
      <c r="V14" s="16">
        <f t="shared" si="1"/>
        <v>34493.260159791862</v>
      </c>
      <c r="W14" s="16">
        <f t="shared" si="1"/>
        <v>34542.067761389786</v>
      </c>
      <c r="X14" s="16">
        <f t="shared" si="1"/>
        <v>34591.363439003682</v>
      </c>
      <c r="Y14" s="16">
        <f t="shared" si="1"/>
        <v>34641.152073393721</v>
      </c>
      <c r="Z14" s="2"/>
      <c r="AA14" s="2"/>
    </row>
    <row r="15" spans="1:27">
      <c r="A15" s="2"/>
      <c r="B15" s="16"/>
      <c r="C15" s="16"/>
      <c r="D15" s="16"/>
      <c r="E15" s="16"/>
      <c r="F15" s="16"/>
      <c r="G15" s="16"/>
      <c r="H15" s="16"/>
      <c r="I15" s="16"/>
      <c r="J15" s="16"/>
      <c r="K15" s="16"/>
      <c r="L15" s="16"/>
      <c r="M15" s="16"/>
      <c r="N15" s="16"/>
      <c r="O15" s="16"/>
      <c r="P15" s="16"/>
      <c r="Q15" s="16"/>
      <c r="R15" s="16"/>
      <c r="S15" s="16"/>
      <c r="T15" s="16"/>
      <c r="U15" s="16"/>
      <c r="V15" s="16"/>
      <c r="W15" s="16"/>
      <c r="X15" s="16"/>
      <c r="Y15" s="16"/>
      <c r="Z15" s="2"/>
      <c r="AA15" s="2"/>
    </row>
    <row r="16" spans="1:27">
      <c r="A16" s="5" t="s">
        <v>213</v>
      </c>
      <c r="B16" s="12"/>
      <c r="C16" s="12"/>
      <c r="D16" s="12"/>
      <c r="E16" s="12"/>
      <c r="F16" s="12"/>
      <c r="G16" s="12"/>
      <c r="H16" s="12"/>
      <c r="I16" s="12"/>
      <c r="J16" s="12"/>
      <c r="K16" s="12"/>
      <c r="L16" s="12"/>
      <c r="M16" s="12"/>
      <c r="N16" s="12"/>
      <c r="O16" s="12"/>
      <c r="P16" s="12"/>
      <c r="Q16" s="12"/>
      <c r="R16" s="12"/>
      <c r="S16" s="12"/>
      <c r="T16" s="12"/>
      <c r="U16" s="12"/>
      <c r="V16" s="12"/>
      <c r="W16" s="12"/>
      <c r="X16" s="12"/>
      <c r="Y16" s="12"/>
      <c r="Z16" s="2"/>
      <c r="AA16" s="2"/>
    </row>
    <row r="17" spans="1:27">
      <c r="A17" s="2" t="s">
        <v>193</v>
      </c>
      <c r="B17" s="16">
        <f>Headcount!B14</f>
        <v>7474.9999999999991</v>
      </c>
      <c r="C17" s="16">
        <f>Headcount!C14</f>
        <v>7474.9999999999991</v>
      </c>
      <c r="D17" s="16">
        <f>Headcount!D14</f>
        <v>7474.9999999999991</v>
      </c>
      <c r="E17" s="16">
        <f>Headcount!E14</f>
        <v>7474.9999999999991</v>
      </c>
      <c r="F17" s="16">
        <f>Headcount!F14</f>
        <v>7474.9999999999991</v>
      </c>
      <c r="G17" s="16">
        <f>Headcount!G14</f>
        <v>7474.9999999999991</v>
      </c>
      <c r="H17" s="16">
        <f>Headcount!H14</f>
        <v>7474.9999999999991</v>
      </c>
      <c r="I17" s="16">
        <f>Headcount!I14</f>
        <v>7474.9999999999991</v>
      </c>
      <c r="J17" s="16">
        <f>Headcount!J14</f>
        <v>7474.9999999999991</v>
      </c>
      <c r="K17" s="16">
        <f>Headcount!K14</f>
        <v>12649.999999999998</v>
      </c>
      <c r="L17" s="16">
        <f>Headcount!L14</f>
        <v>12649.999999999998</v>
      </c>
      <c r="M17" s="16">
        <f>Headcount!M14</f>
        <v>12649.999999999998</v>
      </c>
      <c r="N17" s="16">
        <f>Headcount!N14</f>
        <v>13029.499999999998</v>
      </c>
      <c r="O17" s="16">
        <f>Headcount!O14</f>
        <v>13029.499999999998</v>
      </c>
      <c r="P17" s="16">
        <f>Headcount!P14</f>
        <v>13029.499999999998</v>
      </c>
      <c r="Q17" s="16">
        <f>Headcount!Q14</f>
        <v>13029.499999999998</v>
      </c>
      <c r="R17" s="16">
        <f>Headcount!R14</f>
        <v>13029.499999999998</v>
      </c>
      <c r="S17" s="16">
        <f>Headcount!S14</f>
        <v>13029.499999999998</v>
      </c>
      <c r="T17" s="16">
        <f>Headcount!T14</f>
        <v>13029.499999999998</v>
      </c>
      <c r="U17" s="16">
        <f>Headcount!U14</f>
        <v>13029.499999999998</v>
      </c>
      <c r="V17" s="16">
        <f>Headcount!V14</f>
        <v>13029.499999999998</v>
      </c>
      <c r="W17" s="16">
        <f>Headcount!W14</f>
        <v>13029.499999999998</v>
      </c>
      <c r="X17" s="16">
        <f>Headcount!X14</f>
        <v>13029.499999999998</v>
      </c>
      <c r="Y17" s="16">
        <f>Headcount!Y14</f>
        <v>13029.499999999998</v>
      </c>
      <c r="Z17" s="2"/>
      <c r="AA17" s="2"/>
    </row>
    <row r="18" spans="1:27">
      <c r="A18" s="2" t="s">
        <v>226</v>
      </c>
      <c r="B18" s="16">
        <f>Assumptions!$C$37*POWER(1+Assumptions!$C$38,1-1)</f>
        <v>6000</v>
      </c>
      <c r="C18" s="16">
        <f>Assumptions!$C$37*POWER(1+Assumptions!$C$38,2-1)</f>
        <v>6060</v>
      </c>
      <c r="D18" s="16">
        <f>Assumptions!$C$37*POWER(1+Assumptions!$C$38,3-1)</f>
        <v>6120.6</v>
      </c>
      <c r="E18" s="16">
        <f>Assumptions!$C$37*POWER(1+Assumptions!$C$38,4-1)</f>
        <v>6181.8059999999996</v>
      </c>
      <c r="F18" s="16">
        <f>Assumptions!$C$37*POWER(1+Assumptions!$C$38,5-1)</f>
        <v>6243.6240600000001</v>
      </c>
      <c r="G18" s="16">
        <f>Assumptions!$C$37*POWER(1+Assumptions!$C$38,6-1)</f>
        <v>6306.0603005999992</v>
      </c>
      <c r="H18" s="16">
        <f>Assumptions!$C$37*POWER(1+Assumptions!$C$38,7-1)</f>
        <v>6369.1209036060009</v>
      </c>
      <c r="I18" s="16">
        <f>Assumptions!$C$37*POWER(1+Assumptions!$C$38,8-1)</f>
        <v>6432.8121126420592</v>
      </c>
      <c r="J18" s="16">
        <f>Assumptions!$C$37*POWER(1+Assumptions!$C$38,9-1)</f>
        <v>6497.1402337684813</v>
      </c>
      <c r="K18" s="16">
        <f>Assumptions!$C$37*POWER(1+Assumptions!$C$38,10-1)</f>
        <v>6562.1116361061668</v>
      </c>
      <c r="L18" s="16">
        <f>Assumptions!$C$37*POWER(1+Assumptions!$C$38,11-1)</f>
        <v>6627.7327524672282</v>
      </c>
      <c r="M18" s="16">
        <f>Assumptions!$C$37*POWER(1+Assumptions!$C$38,12-1)</f>
        <v>6694.0100799918991</v>
      </c>
      <c r="N18" s="16">
        <f>Assumptions!$C$37*POWER(1+Assumptions!$C$38,13-1)</f>
        <v>6760.9501807918186</v>
      </c>
      <c r="O18" s="16">
        <f>Assumptions!$C$37*POWER(1+Assumptions!$C$38,14-1)</f>
        <v>6828.5596825997372</v>
      </c>
      <c r="P18" s="16">
        <f>Assumptions!$C$37*POWER(1+Assumptions!$C$38,15-1)</f>
        <v>6896.8452794257355</v>
      </c>
      <c r="Q18" s="16">
        <f>Assumptions!$C$37*POWER(1+Assumptions!$C$38,16-1)</f>
        <v>6965.8137322199909</v>
      </c>
      <c r="R18" s="16">
        <f>Assumptions!$C$37*POWER(1+Assumptions!$C$38,17-1)</f>
        <v>7035.4718695421925</v>
      </c>
      <c r="S18" s="16">
        <f>Assumptions!$C$37*POWER(1+Assumptions!$C$38,18-1)</f>
        <v>7105.8265882376154</v>
      </c>
      <c r="T18" s="16">
        <f>Assumptions!$C$37*POWER(1+Assumptions!$C$38,19-1)</f>
        <v>7176.8848541199914</v>
      </c>
      <c r="U18" s="16">
        <f>Assumptions!$C$37*POWER(1+Assumptions!$C$38,20-1)</f>
        <v>7248.6537026611895</v>
      </c>
      <c r="V18" s="16">
        <f>Assumptions!$C$37*POWER(1+Assumptions!$C$38,21-1)</f>
        <v>7321.140239687802</v>
      </c>
      <c r="W18" s="16">
        <f>Assumptions!$C$37*POWER(1+Assumptions!$C$38,22-1)</f>
        <v>7394.35164208468</v>
      </c>
      <c r="X18" s="16">
        <f>Assumptions!$C$37*POWER(1+Assumptions!$C$38,23-1)</f>
        <v>7468.295158505528</v>
      </c>
      <c r="Y18" s="16">
        <f>Assumptions!$C$37*POWER(1+Assumptions!$C$38,24-1)</f>
        <v>7542.978110090582</v>
      </c>
      <c r="Z18" s="2"/>
      <c r="AA18" s="2"/>
    </row>
    <row r="19" spans="1:27">
      <c r="A19" s="2" t="s">
        <v>227</v>
      </c>
      <c r="B19" s="16">
        <f>IF(1=Assumptions!$C$39,Assumptions!$C$40,0)</f>
        <v>0</v>
      </c>
      <c r="C19" s="16">
        <f>IF(2=Assumptions!$C$39,Assumptions!$C$40,0)</f>
        <v>0</v>
      </c>
      <c r="D19" s="16">
        <f>IF(3=Assumptions!$C$39,Assumptions!$C$40,0)</f>
        <v>0</v>
      </c>
      <c r="E19" s="16">
        <f>IF(4=Assumptions!$C$39,Assumptions!$C$40,0)</f>
        <v>0</v>
      </c>
      <c r="F19" s="16">
        <f>IF(5=Assumptions!$C$39,Assumptions!$C$40,0)</f>
        <v>0</v>
      </c>
      <c r="G19" s="16">
        <f>IF(6=Assumptions!$C$39,Assumptions!$C$40,0)</f>
        <v>0</v>
      </c>
      <c r="H19" s="16">
        <f>IF(7=Assumptions!$C$39,Assumptions!$C$40,0)</f>
        <v>0</v>
      </c>
      <c r="I19" s="16">
        <f>IF(8=Assumptions!$C$39,Assumptions!$C$40,0)</f>
        <v>0</v>
      </c>
      <c r="J19" s="16">
        <f>IF(9=Assumptions!$C$39,Assumptions!$C$40,0)</f>
        <v>0</v>
      </c>
      <c r="K19" s="16">
        <f>IF(10=Assumptions!$C$39,Assumptions!$C$40,0)</f>
        <v>0</v>
      </c>
      <c r="L19" s="16">
        <f>IF(11=Assumptions!$C$39,Assumptions!$C$40,0)</f>
        <v>0</v>
      </c>
      <c r="M19" s="16">
        <f>IF(12=Assumptions!$C$39,Assumptions!$C$40,0)</f>
        <v>15000</v>
      </c>
      <c r="N19" s="16">
        <f>IF(13=Assumptions!$C$39,Assumptions!$C$40,0)</f>
        <v>0</v>
      </c>
      <c r="O19" s="16">
        <f>IF(14=Assumptions!$C$39,Assumptions!$C$40,0)</f>
        <v>0</v>
      </c>
      <c r="P19" s="16">
        <f>IF(15=Assumptions!$C$39,Assumptions!$C$40,0)</f>
        <v>0</v>
      </c>
      <c r="Q19" s="16">
        <f>IF(16=Assumptions!$C$39,Assumptions!$C$40,0)</f>
        <v>0</v>
      </c>
      <c r="R19" s="16">
        <f>IF(17=Assumptions!$C$39,Assumptions!$C$40,0)</f>
        <v>0</v>
      </c>
      <c r="S19" s="16">
        <f>IF(18=Assumptions!$C$39,Assumptions!$C$40,0)</f>
        <v>0</v>
      </c>
      <c r="T19" s="16">
        <f>IF(19=Assumptions!$C$39,Assumptions!$C$40,0)</f>
        <v>0</v>
      </c>
      <c r="U19" s="16">
        <f>IF(20=Assumptions!$C$39,Assumptions!$C$40,0)</f>
        <v>0</v>
      </c>
      <c r="V19" s="16">
        <f>IF(21=Assumptions!$C$39,Assumptions!$C$40,0)</f>
        <v>0</v>
      </c>
      <c r="W19" s="16">
        <f>IF(22=Assumptions!$C$39,Assumptions!$C$40,0)</f>
        <v>0</v>
      </c>
      <c r="X19" s="16">
        <f>IF(23=Assumptions!$C$39,Assumptions!$C$40,0)</f>
        <v>0</v>
      </c>
      <c r="Y19" s="16">
        <f>IF(24=Assumptions!$C$39,Assumptions!$C$40,0)</f>
        <v>0</v>
      </c>
      <c r="Z19" s="2"/>
      <c r="AA19" s="2"/>
    </row>
    <row r="20" spans="1:27">
      <c r="A20" s="2" t="s">
        <v>228</v>
      </c>
      <c r="B20" s="16">
        <f t="shared" ref="B20:Y20" si="2">SUM(B17:B19)</f>
        <v>13475</v>
      </c>
      <c r="C20" s="16">
        <f t="shared" si="2"/>
        <v>13535</v>
      </c>
      <c r="D20" s="16">
        <f t="shared" si="2"/>
        <v>13595.599999999999</v>
      </c>
      <c r="E20" s="16">
        <f t="shared" si="2"/>
        <v>13656.805999999999</v>
      </c>
      <c r="F20" s="16">
        <f t="shared" si="2"/>
        <v>13718.624059999998</v>
      </c>
      <c r="G20" s="16">
        <f t="shared" si="2"/>
        <v>13781.060300599998</v>
      </c>
      <c r="H20" s="16">
        <f t="shared" si="2"/>
        <v>13844.120903605999</v>
      </c>
      <c r="I20" s="16">
        <f t="shared" si="2"/>
        <v>13907.812112642059</v>
      </c>
      <c r="J20" s="16">
        <f t="shared" si="2"/>
        <v>13972.140233768481</v>
      </c>
      <c r="K20" s="16">
        <f t="shared" si="2"/>
        <v>19212.111636106165</v>
      </c>
      <c r="L20" s="16">
        <f t="shared" si="2"/>
        <v>19277.732752467226</v>
      </c>
      <c r="M20" s="16">
        <f t="shared" si="2"/>
        <v>34344.010079991902</v>
      </c>
      <c r="N20" s="16">
        <f t="shared" si="2"/>
        <v>19790.450180791817</v>
      </c>
      <c r="O20" s="16">
        <f t="shared" si="2"/>
        <v>19858.059682599735</v>
      </c>
      <c r="P20" s="16">
        <f t="shared" si="2"/>
        <v>19926.345279425732</v>
      </c>
      <c r="Q20" s="16">
        <f t="shared" si="2"/>
        <v>19995.313732219991</v>
      </c>
      <c r="R20" s="16">
        <f t="shared" si="2"/>
        <v>20064.971869542191</v>
      </c>
      <c r="S20" s="16">
        <f t="shared" si="2"/>
        <v>20135.326588237614</v>
      </c>
      <c r="T20" s="16">
        <f t="shared" si="2"/>
        <v>20206.384854119991</v>
      </c>
      <c r="U20" s="16">
        <f t="shared" si="2"/>
        <v>20278.153702661188</v>
      </c>
      <c r="V20" s="16">
        <f t="shared" si="2"/>
        <v>20350.6402396878</v>
      </c>
      <c r="W20" s="16">
        <f t="shared" si="2"/>
        <v>20423.851642084679</v>
      </c>
      <c r="X20" s="16">
        <f t="shared" si="2"/>
        <v>20497.795158505527</v>
      </c>
      <c r="Y20" s="16">
        <f t="shared" si="2"/>
        <v>20572.478110090582</v>
      </c>
      <c r="Z20" s="2"/>
      <c r="AA20" s="2"/>
    </row>
    <row r="21" spans="1:27">
      <c r="A21" s="2"/>
      <c r="B21" s="16"/>
      <c r="C21" s="16"/>
      <c r="D21" s="16"/>
      <c r="E21" s="16"/>
      <c r="F21" s="16"/>
      <c r="G21" s="16"/>
      <c r="H21" s="16"/>
      <c r="I21" s="16"/>
      <c r="J21" s="16"/>
      <c r="K21" s="16"/>
      <c r="L21" s="16"/>
      <c r="M21" s="16"/>
      <c r="N21" s="16"/>
      <c r="O21" s="16"/>
      <c r="P21" s="16"/>
      <c r="Q21" s="16"/>
      <c r="R21" s="16"/>
      <c r="S21" s="16"/>
      <c r="T21" s="16"/>
      <c r="U21" s="16"/>
      <c r="V21" s="16"/>
      <c r="W21" s="16"/>
      <c r="X21" s="16"/>
      <c r="Y21" s="16"/>
      <c r="Z21" s="2"/>
      <c r="AA21" s="2"/>
    </row>
    <row r="22" spans="1:27">
      <c r="A22" s="5" t="s">
        <v>229</v>
      </c>
      <c r="B22" s="12">
        <f t="shared" ref="B22:Y22" si="3">B9+B14+B20</f>
        <v>51625</v>
      </c>
      <c r="C22" s="12">
        <f t="shared" si="3"/>
        <v>52255</v>
      </c>
      <c r="D22" s="12">
        <f t="shared" si="3"/>
        <v>52910.5</v>
      </c>
      <c r="E22" s="12">
        <f t="shared" si="3"/>
        <v>59917.714999999997</v>
      </c>
      <c r="F22" s="12">
        <f t="shared" si="3"/>
        <v>60627.920150000005</v>
      </c>
      <c r="G22" s="12">
        <f t="shared" si="3"/>
        <v>71717.453751499997</v>
      </c>
      <c r="H22" s="12">
        <f t="shared" si="3"/>
        <v>72487.720409015004</v>
      </c>
      <c r="I22" s="12">
        <f t="shared" si="3"/>
        <v>81340.194339105146</v>
      </c>
      <c r="J22" s="12">
        <f t="shared" si="3"/>
        <v>82176.422844796209</v>
      </c>
      <c r="K22" s="12">
        <f t="shared" si="3"/>
        <v>88223.029963659152</v>
      </c>
      <c r="L22" s="12">
        <f t="shared" si="3"/>
        <v>89131.720298231507</v>
      </c>
      <c r="M22" s="12">
        <f t="shared" si="3"/>
        <v>105079.28303789637</v>
      </c>
      <c r="N22" s="12">
        <f t="shared" si="3"/>
        <v>92775.346181791989</v>
      </c>
      <c r="O22" s="12">
        <f t="shared" si="3"/>
        <v>93806.380972802406</v>
      </c>
      <c r="P22" s="12">
        <f t="shared" si="3"/>
        <v>94882.206553182565</v>
      </c>
      <c r="Q22" s="12">
        <f t="shared" si="3"/>
        <v>96004.994852899108</v>
      </c>
      <c r="R22" s="12">
        <f t="shared" si="3"/>
        <v>97177.025722322069</v>
      </c>
      <c r="S22" s="12">
        <f t="shared" si="3"/>
        <v>98400.692321483963</v>
      </c>
      <c r="T22" s="12">
        <f t="shared" si="3"/>
        <v>99678.506778734416</v>
      </c>
      <c r="U22" s="12">
        <f t="shared" si="3"/>
        <v>101013.10613225913</v>
      </c>
      <c r="V22" s="12">
        <f t="shared" si="3"/>
        <v>102407.25856860595</v>
      </c>
      <c r="W22" s="12">
        <f t="shared" si="3"/>
        <v>103863.86997306749</v>
      </c>
      <c r="X22" s="12">
        <f t="shared" si="3"/>
        <v>105385.9908075124</v>
      </c>
      <c r="Y22" s="12">
        <f t="shared" si="3"/>
        <v>106976.82333203746</v>
      </c>
      <c r="Z22" s="2"/>
      <c r="AA22" s="2"/>
    </row>
    <row r="23" spans="1:27">
      <c r="A23" s="2" t="s">
        <v>194</v>
      </c>
      <c r="B23" s="16">
        <f t="shared" ref="B23:Y23" si="4">B6+B12+B17</f>
        <v>27025</v>
      </c>
      <c r="C23" s="16">
        <f t="shared" si="4"/>
        <v>27025</v>
      </c>
      <c r="D23" s="16">
        <f t="shared" si="4"/>
        <v>27025</v>
      </c>
      <c r="E23" s="16">
        <f t="shared" si="4"/>
        <v>33350</v>
      </c>
      <c r="F23" s="16">
        <f t="shared" si="4"/>
        <v>33350</v>
      </c>
      <c r="G23" s="16">
        <f t="shared" si="4"/>
        <v>43700</v>
      </c>
      <c r="H23" s="16">
        <f t="shared" si="4"/>
        <v>43700</v>
      </c>
      <c r="I23" s="16">
        <f t="shared" si="4"/>
        <v>51749.999999999993</v>
      </c>
      <c r="J23" s="16">
        <f t="shared" si="4"/>
        <v>51749.999999999993</v>
      </c>
      <c r="K23" s="16">
        <f t="shared" si="4"/>
        <v>56924.999999999993</v>
      </c>
      <c r="L23" s="16">
        <f t="shared" si="4"/>
        <v>56924.999999999993</v>
      </c>
      <c r="M23" s="16">
        <f t="shared" si="4"/>
        <v>56924.999999999993</v>
      </c>
      <c r="N23" s="16">
        <f t="shared" si="4"/>
        <v>58632.749999999993</v>
      </c>
      <c r="O23" s="16">
        <f t="shared" si="4"/>
        <v>58632.749999999993</v>
      </c>
      <c r="P23" s="16">
        <f t="shared" si="4"/>
        <v>58632.749999999993</v>
      </c>
      <c r="Q23" s="16">
        <f t="shared" si="4"/>
        <v>58632.749999999993</v>
      </c>
      <c r="R23" s="16">
        <f t="shared" si="4"/>
        <v>58632.749999999993</v>
      </c>
      <c r="S23" s="16">
        <f t="shared" si="4"/>
        <v>58632.749999999993</v>
      </c>
      <c r="T23" s="16">
        <f t="shared" si="4"/>
        <v>58632.749999999993</v>
      </c>
      <c r="U23" s="16">
        <f t="shared" si="4"/>
        <v>58632.749999999993</v>
      </c>
      <c r="V23" s="16">
        <f t="shared" si="4"/>
        <v>58632.749999999993</v>
      </c>
      <c r="W23" s="16">
        <f t="shared" si="4"/>
        <v>58632.749999999993</v>
      </c>
      <c r="X23" s="16">
        <f t="shared" si="4"/>
        <v>58632.749999999993</v>
      </c>
      <c r="Y23" s="16">
        <f t="shared" si="4"/>
        <v>58632.749999999993</v>
      </c>
      <c r="Z23" s="2"/>
      <c r="AA23" s="2"/>
    </row>
    <row r="24" spans="1:27">
      <c r="A24" s="2" t="s">
        <v>230</v>
      </c>
      <c r="B24" s="16">
        <f t="shared" ref="B24:Y24" si="5">B22-B23</f>
        <v>24600</v>
      </c>
      <c r="C24" s="16">
        <f t="shared" si="5"/>
        <v>25230</v>
      </c>
      <c r="D24" s="16">
        <f t="shared" si="5"/>
        <v>25885.5</v>
      </c>
      <c r="E24" s="16">
        <f t="shared" si="5"/>
        <v>26567.714999999997</v>
      </c>
      <c r="F24" s="16">
        <f t="shared" si="5"/>
        <v>27277.920150000005</v>
      </c>
      <c r="G24" s="16">
        <f t="shared" si="5"/>
        <v>28017.453751499997</v>
      </c>
      <c r="H24" s="16">
        <f t="shared" si="5"/>
        <v>28787.720409015004</v>
      </c>
      <c r="I24" s="16">
        <f t="shared" si="5"/>
        <v>29590.194339105154</v>
      </c>
      <c r="J24" s="16">
        <f t="shared" si="5"/>
        <v>30426.422844796216</v>
      </c>
      <c r="K24" s="16">
        <f t="shared" si="5"/>
        <v>31298.029963659159</v>
      </c>
      <c r="L24" s="16">
        <f t="shared" si="5"/>
        <v>32206.720298231514</v>
      </c>
      <c r="M24" s="16">
        <f t="shared" si="5"/>
        <v>48154.283037896377</v>
      </c>
      <c r="N24" s="16">
        <f t="shared" si="5"/>
        <v>34142.596181791996</v>
      </c>
      <c r="O24" s="16">
        <f t="shared" si="5"/>
        <v>35173.630972802413</v>
      </c>
      <c r="P24" s="16">
        <f t="shared" si="5"/>
        <v>36249.456553182572</v>
      </c>
      <c r="Q24" s="16">
        <f t="shared" si="5"/>
        <v>37372.244852899115</v>
      </c>
      <c r="R24" s="16">
        <f t="shared" si="5"/>
        <v>38544.275722322076</v>
      </c>
      <c r="S24" s="16">
        <f t="shared" si="5"/>
        <v>39767.94232148397</v>
      </c>
      <c r="T24" s="16">
        <f t="shared" si="5"/>
        <v>41045.756778734423</v>
      </c>
      <c r="U24" s="16">
        <f t="shared" si="5"/>
        <v>42380.356132259134</v>
      </c>
      <c r="V24" s="16">
        <f t="shared" si="5"/>
        <v>43774.508568605954</v>
      </c>
      <c r="W24" s="16">
        <f t="shared" si="5"/>
        <v>45231.119973067493</v>
      </c>
      <c r="X24" s="16">
        <f t="shared" si="5"/>
        <v>46753.240807512404</v>
      </c>
      <c r="Y24" s="16">
        <f t="shared" si="5"/>
        <v>48344.073332037464</v>
      </c>
      <c r="Z24" s="2"/>
      <c r="AA24" s="2"/>
    </row>
    <row r="25" spans="1:27">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spans="1:27">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spans="1: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spans="1:27">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spans="1:27">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spans="1:27">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spans="1:27">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spans="1:27">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spans="1:27">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spans="1:27">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spans="1:27">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c r="A80" s="2"/>
      <c r="B80" s="2"/>
      <c r="C80" s="2"/>
      <c r="D80" s="2"/>
      <c r="E80" s="2"/>
      <c r="F80" s="2"/>
      <c r="G80" s="2"/>
      <c r="H80" s="2"/>
      <c r="I80" s="2"/>
      <c r="J80" s="2"/>
      <c r="K80" s="2"/>
      <c r="L80" s="2"/>
      <c r="M80" s="2"/>
      <c r="N80" s="2"/>
      <c r="O80" s="2"/>
      <c r="P80" s="2"/>
      <c r="Q80" s="2"/>
      <c r="R80" s="2"/>
      <c r="S80" s="2"/>
      <c r="T80" s="2"/>
      <c r="U80" s="2"/>
      <c r="V80" s="2"/>
      <c r="W80" s="2"/>
      <c r="X80" s="2"/>
      <c r="Y80" s="2"/>
      <c r="Z80" s="2"/>
      <c r="AA80" s="2"/>
    </row>
  </sheetData>
  <mergeCells count="2">
    <mergeCell ref="A2:Y2"/>
    <mergeCell ref="A1:Y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80"/>
  <sheetViews>
    <sheetView showGridLines="0" workbookViewId="0">
      <selection sqref="A1:Y1"/>
    </sheetView>
  </sheetViews>
  <sheetFormatPr defaultRowHeight="13.8"/>
  <cols>
    <col min="1" max="1" width="34" customWidth="1"/>
    <col min="2" max="25" width="13" customWidth="1"/>
  </cols>
  <sheetData>
    <row r="1" spans="1:27">
      <c r="A1" s="55" t="s">
        <v>231</v>
      </c>
      <c r="B1" s="56"/>
      <c r="C1" s="56"/>
      <c r="D1" s="56"/>
      <c r="E1" s="56"/>
      <c r="F1" s="56"/>
      <c r="G1" s="56"/>
      <c r="H1" s="56"/>
      <c r="I1" s="56"/>
      <c r="J1" s="56"/>
      <c r="K1" s="56"/>
      <c r="L1" s="56"/>
      <c r="M1" s="56"/>
      <c r="N1" s="56"/>
      <c r="O1" s="56"/>
      <c r="P1" s="56"/>
      <c r="Q1" s="56"/>
      <c r="R1" s="56"/>
      <c r="S1" s="56"/>
      <c r="T1" s="56"/>
      <c r="U1" s="56"/>
      <c r="V1" s="56"/>
      <c r="W1" s="56"/>
      <c r="X1" s="56"/>
      <c r="Y1" s="56"/>
      <c r="Z1" s="2"/>
      <c r="AA1" s="2"/>
    </row>
    <row r="2" spans="1:27">
      <c r="A2" s="59" t="s">
        <v>232</v>
      </c>
      <c r="B2" s="56"/>
      <c r="C2" s="56"/>
      <c r="D2" s="56"/>
      <c r="E2" s="56"/>
      <c r="F2" s="56"/>
      <c r="G2" s="56"/>
      <c r="H2" s="56"/>
      <c r="I2" s="56"/>
      <c r="J2" s="56"/>
      <c r="K2" s="56"/>
      <c r="L2" s="56"/>
      <c r="M2" s="56"/>
      <c r="N2" s="56"/>
      <c r="O2" s="56"/>
      <c r="P2" s="56"/>
      <c r="Q2" s="56"/>
      <c r="R2" s="56"/>
      <c r="S2" s="56"/>
      <c r="T2" s="56"/>
      <c r="U2" s="56"/>
      <c r="V2" s="56"/>
      <c r="W2" s="56"/>
      <c r="X2" s="56"/>
      <c r="Y2" s="56"/>
      <c r="Z2" s="2"/>
      <c r="AA2" s="2"/>
    </row>
    <row r="3" spans="1:27">
      <c r="A3" s="2"/>
      <c r="B3" s="2"/>
      <c r="C3" s="2"/>
      <c r="D3" s="2"/>
      <c r="E3" s="2"/>
      <c r="F3" s="2"/>
      <c r="G3" s="2"/>
      <c r="H3" s="2"/>
      <c r="I3" s="2"/>
      <c r="J3" s="2"/>
      <c r="K3" s="2"/>
      <c r="L3" s="2"/>
      <c r="M3" s="2"/>
      <c r="N3" s="2"/>
      <c r="O3" s="2"/>
      <c r="P3" s="2"/>
      <c r="Q3" s="2"/>
      <c r="R3" s="2"/>
      <c r="S3" s="2"/>
      <c r="T3" s="2"/>
      <c r="U3" s="2"/>
      <c r="V3" s="2"/>
      <c r="W3" s="2"/>
      <c r="X3" s="2"/>
      <c r="Y3" s="2"/>
      <c r="Z3" s="2"/>
      <c r="AA3" s="2"/>
    </row>
    <row r="4" spans="1:27">
      <c r="A4" s="1" t="s">
        <v>121</v>
      </c>
      <c r="B4" s="1" t="s">
        <v>122</v>
      </c>
      <c r="C4" s="1" t="s">
        <v>123</v>
      </c>
      <c r="D4" s="1" t="s">
        <v>124</v>
      </c>
      <c r="E4" s="1" t="s">
        <v>125</v>
      </c>
      <c r="F4" s="1" t="s">
        <v>126</v>
      </c>
      <c r="G4" s="1" t="s">
        <v>127</v>
      </c>
      <c r="H4" s="1" t="s">
        <v>128</v>
      </c>
      <c r="I4" s="1" t="s">
        <v>129</v>
      </c>
      <c r="J4" s="1" t="s">
        <v>130</v>
      </c>
      <c r="K4" s="1" t="s">
        <v>131</v>
      </c>
      <c r="L4" s="1" t="s">
        <v>132</v>
      </c>
      <c r="M4" s="1" t="s">
        <v>133</v>
      </c>
      <c r="N4" s="1" t="s">
        <v>134</v>
      </c>
      <c r="O4" s="1" t="s">
        <v>135</v>
      </c>
      <c r="P4" s="1" t="s">
        <v>136</v>
      </c>
      <c r="Q4" s="1" t="s">
        <v>137</v>
      </c>
      <c r="R4" s="1" t="s">
        <v>138</v>
      </c>
      <c r="S4" s="1" t="s">
        <v>139</v>
      </c>
      <c r="T4" s="1" t="s">
        <v>140</v>
      </c>
      <c r="U4" s="1" t="s">
        <v>141</v>
      </c>
      <c r="V4" s="1" t="s">
        <v>142</v>
      </c>
      <c r="W4" s="1" t="s">
        <v>143</v>
      </c>
      <c r="X4" s="1" t="s">
        <v>144</v>
      </c>
      <c r="Y4" s="1" t="s">
        <v>145</v>
      </c>
      <c r="Z4" s="2"/>
      <c r="AA4" s="2"/>
    </row>
    <row r="5" spans="1:27">
      <c r="A5" s="5" t="s">
        <v>233</v>
      </c>
      <c r="B5" s="5"/>
      <c r="C5" s="5"/>
      <c r="D5" s="5"/>
      <c r="E5" s="5"/>
      <c r="F5" s="5"/>
      <c r="G5" s="5"/>
      <c r="H5" s="5"/>
      <c r="I5" s="5"/>
      <c r="J5" s="5"/>
      <c r="K5" s="5"/>
      <c r="L5" s="5"/>
      <c r="M5" s="5"/>
      <c r="N5" s="5"/>
      <c r="O5" s="5"/>
      <c r="P5" s="5"/>
      <c r="Q5" s="5"/>
      <c r="R5" s="5"/>
      <c r="S5" s="5"/>
      <c r="T5" s="5"/>
      <c r="U5" s="5"/>
      <c r="V5" s="5"/>
      <c r="W5" s="5"/>
      <c r="X5" s="5"/>
      <c r="Y5" s="5"/>
      <c r="Z5" s="2"/>
      <c r="AA5" s="2"/>
    </row>
    <row r="6" spans="1:27">
      <c r="A6" s="2" t="s">
        <v>171</v>
      </c>
      <c r="B6" s="16">
        <f>'Revenue Model'!B19</f>
        <v>26695.625</v>
      </c>
      <c r="C6" s="16">
        <f>'Revenue Model'!C19</f>
        <v>30144.730031250001</v>
      </c>
      <c r="D6" s="16">
        <f>'Revenue Model'!D19</f>
        <v>33713.115070964064</v>
      </c>
      <c r="E6" s="16">
        <f>'Revenue Model'!E19</f>
        <v>37408.081476929321</v>
      </c>
      <c r="F6" s="16">
        <f>'Revenue Model'!F19</f>
        <v>41237.26204028455</v>
      </c>
      <c r="G6" s="16">
        <f>'Revenue Model'!G19</f>
        <v>45208.638403096396</v>
      </c>
      <c r="H6" s="16">
        <f>'Revenue Model'!H19</f>
        <v>49330.559325539769</v>
      </c>
      <c r="I6" s="16">
        <f>'Revenue Model'!I19</f>
        <v>53611.759845697758</v>
      </c>
      <c r="J6" s="16">
        <f>'Revenue Model'!J19</f>
        <v>58061.381377133541</v>
      </c>
      <c r="K6" s="16">
        <f>'Revenue Model'!K19</f>
        <v>62688.99279163147</v>
      </c>
      <c r="L6" s="16">
        <f>'Revenue Model'!L19</f>
        <v>67504.612536861416</v>
      </c>
      <c r="M6" s="16">
        <f>'Revenue Model'!M19</f>
        <v>72518.731841195811</v>
      </c>
      <c r="N6" s="16">
        <f>'Revenue Model'!N19</f>
        <v>77742.33906050802</v>
      </c>
      <c r="O6" s="16">
        <f>'Revenue Model'!O19</f>
        <v>83186.945224510433</v>
      </c>
      <c r="P6" s="16">
        <f>'Revenue Model'!P19</f>
        <v>88864.6108430569</v>
      </c>
      <c r="Q6" s="16">
        <f>'Revenue Model'!Q19</f>
        <v>94787.974035844061</v>
      </c>
      <c r="R6" s="16">
        <f>'Revenue Model'!R19</f>
        <v>100970.28005210712</v>
      </c>
      <c r="S6" s="16">
        <f>'Revenue Model'!S19</f>
        <v>107425.41225022438</v>
      </c>
      <c r="T6" s="16">
        <f>'Revenue Model'!T19</f>
        <v>114167.92461063041</v>
      </c>
      <c r="U6" s="16">
        <f>'Revenue Model'!U19</f>
        <v>121213.07585909715</v>
      </c>
      <c r="V6" s="16">
        <f>'Revenue Model'!V19</f>
        <v>128576.86528128618</v>
      </c>
      <c r="W6" s="16">
        <f>'Revenue Model'!W19</f>
        <v>136276.07031350944</v>
      </c>
      <c r="X6" s="16">
        <f>'Revenue Model'!X19</f>
        <v>144328.28599887463</v>
      </c>
      <c r="Y6" s="16">
        <f>'Revenue Model'!Y19</f>
        <v>152751.96640244042</v>
      </c>
      <c r="Z6" s="2"/>
      <c r="AA6" s="2"/>
    </row>
    <row r="7" spans="1:27">
      <c r="A7" s="2" t="s">
        <v>160</v>
      </c>
      <c r="B7" s="16">
        <f>'Revenue Model'!B20</f>
        <v>0</v>
      </c>
      <c r="C7" s="16">
        <f>'Revenue Model'!C20</f>
        <v>0</v>
      </c>
      <c r="D7" s="16">
        <f>'Revenue Model'!D20</f>
        <v>0</v>
      </c>
      <c r="E7" s="16">
        <f>'Revenue Model'!E20</f>
        <v>0</v>
      </c>
      <c r="F7" s="16">
        <f>'Revenue Model'!F20</f>
        <v>0</v>
      </c>
      <c r="G7" s="16">
        <f>'Revenue Model'!G20</f>
        <v>0</v>
      </c>
      <c r="H7" s="16">
        <f>'Revenue Model'!H20</f>
        <v>0</v>
      </c>
      <c r="I7" s="16">
        <f>'Revenue Model'!I20</f>
        <v>0</v>
      </c>
      <c r="J7" s="16">
        <f>'Revenue Model'!J20</f>
        <v>0</v>
      </c>
      <c r="K7" s="16">
        <f>'Revenue Model'!K20</f>
        <v>0</v>
      </c>
      <c r="L7" s="16">
        <f>'Revenue Model'!L20</f>
        <v>0</v>
      </c>
      <c r="M7" s="16">
        <f>'Revenue Model'!M20</f>
        <v>0</v>
      </c>
      <c r="N7" s="16">
        <f>'Revenue Model'!N20</f>
        <v>0</v>
      </c>
      <c r="O7" s="16">
        <f>'Revenue Model'!O20</f>
        <v>0</v>
      </c>
      <c r="P7" s="16">
        <f>'Revenue Model'!P20</f>
        <v>0</v>
      </c>
      <c r="Q7" s="16">
        <f>'Revenue Model'!Q20</f>
        <v>0</v>
      </c>
      <c r="R7" s="16">
        <f>'Revenue Model'!R20</f>
        <v>0</v>
      </c>
      <c r="S7" s="16">
        <f>'Revenue Model'!S20</f>
        <v>0</v>
      </c>
      <c r="T7" s="16">
        <f>'Revenue Model'!T20</f>
        <v>0</v>
      </c>
      <c r="U7" s="16">
        <f>'Revenue Model'!U20</f>
        <v>0</v>
      </c>
      <c r="V7" s="16">
        <f>'Revenue Model'!V20</f>
        <v>0</v>
      </c>
      <c r="W7" s="16">
        <f>'Revenue Model'!W20</f>
        <v>0</v>
      </c>
      <c r="X7" s="16">
        <f>'Revenue Model'!X20</f>
        <v>0</v>
      </c>
      <c r="Y7" s="16">
        <f>'Revenue Model'!Y20</f>
        <v>0</v>
      </c>
      <c r="Z7" s="2"/>
      <c r="AA7" s="2"/>
    </row>
    <row r="8" spans="1:27">
      <c r="A8" s="2" t="s">
        <v>161</v>
      </c>
      <c r="B8" s="16">
        <f t="shared" ref="B8:Y8" si="0">SUM(B6:B7)</f>
        <v>26695.625</v>
      </c>
      <c r="C8" s="16">
        <f t="shared" si="0"/>
        <v>30144.730031250001</v>
      </c>
      <c r="D8" s="16">
        <f t="shared" si="0"/>
        <v>33713.115070964064</v>
      </c>
      <c r="E8" s="16">
        <f t="shared" si="0"/>
        <v>37408.081476929321</v>
      </c>
      <c r="F8" s="16">
        <f t="shared" si="0"/>
        <v>41237.26204028455</v>
      </c>
      <c r="G8" s="16">
        <f t="shared" si="0"/>
        <v>45208.638403096396</v>
      </c>
      <c r="H8" s="16">
        <f t="shared" si="0"/>
        <v>49330.559325539769</v>
      </c>
      <c r="I8" s="16">
        <f t="shared" si="0"/>
        <v>53611.759845697758</v>
      </c>
      <c r="J8" s="16">
        <f t="shared" si="0"/>
        <v>58061.381377133541</v>
      </c>
      <c r="K8" s="16">
        <f t="shared" si="0"/>
        <v>62688.99279163147</v>
      </c>
      <c r="L8" s="16">
        <f t="shared" si="0"/>
        <v>67504.612536861416</v>
      </c>
      <c r="M8" s="16">
        <f t="shared" si="0"/>
        <v>72518.731841195811</v>
      </c>
      <c r="N8" s="16">
        <f t="shared" si="0"/>
        <v>77742.33906050802</v>
      </c>
      <c r="O8" s="16">
        <f t="shared" si="0"/>
        <v>83186.945224510433</v>
      </c>
      <c r="P8" s="16">
        <f t="shared" si="0"/>
        <v>88864.6108430569</v>
      </c>
      <c r="Q8" s="16">
        <f t="shared" si="0"/>
        <v>94787.974035844061</v>
      </c>
      <c r="R8" s="16">
        <f t="shared" si="0"/>
        <v>100970.28005210712</v>
      </c>
      <c r="S8" s="16">
        <f t="shared" si="0"/>
        <v>107425.41225022438</v>
      </c>
      <c r="T8" s="16">
        <f t="shared" si="0"/>
        <v>114167.92461063041</v>
      </c>
      <c r="U8" s="16">
        <f t="shared" si="0"/>
        <v>121213.07585909715</v>
      </c>
      <c r="V8" s="16">
        <f t="shared" si="0"/>
        <v>128576.86528128618</v>
      </c>
      <c r="W8" s="16">
        <f t="shared" si="0"/>
        <v>136276.07031350944</v>
      </c>
      <c r="X8" s="16">
        <f t="shared" si="0"/>
        <v>144328.28599887463</v>
      </c>
      <c r="Y8" s="16">
        <f t="shared" si="0"/>
        <v>152751.96640244042</v>
      </c>
      <c r="Z8" s="2"/>
      <c r="AA8" s="2"/>
    </row>
    <row r="9" spans="1:27">
      <c r="A9" s="2"/>
      <c r="B9" s="16"/>
      <c r="C9" s="16"/>
      <c r="D9" s="16"/>
      <c r="E9" s="16"/>
      <c r="F9" s="16"/>
      <c r="G9" s="16"/>
      <c r="H9" s="16"/>
      <c r="I9" s="16"/>
      <c r="J9" s="16"/>
      <c r="K9" s="16"/>
      <c r="L9" s="16"/>
      <c r="M9" s="16"/>
      <c r="N9" s="16"/>
      <c r="O9" s="16"/>
      <c r="P9" s="16"/>
      <c r="Q9" s="16"/>
      <c r="R9" s="16"/>
      <c r="S9" s="16"/>
      <c r="T9" s="16"/>
      <c r="U9" s="16"/>
      <c r="V9" s="16"/>
      <c r="W9" s="16"/>
      <c r="X9" s="16"/>
      <c r="Y9" s="16"/>
      <c r="Z9" s="2"/>
      <c r="AA9" s="2"/>
    </row>
    <row r="10" spans="1:27">
      <c r="A10" s="5" t="s">
        <v>234</v>
      </c>
      <c r="B10" s="12"/>
      <c r="C10" s="12"/>
      <c r="D10" s="12"/>
      <c r="E10" s="12"/>
      <c r="F10" s="12"/>
      <c r="G10" s="12"/>
      <c r="H10" s="12"/>
      <c r="I10" s="12"/>
      <c r="J10" s="12"/>
      <c r="K10" s="12"/>
      <c r="L10" s="12"/>
      <c r="M10" s="12"/>
      <c r="N10" s="12"/>
      <c r="O10" s="12"/>
      <c r="P10" s="12"/>
      <c r="Q10" s="12"/>
      <c r="R10" s="12"/>
      <c r="S10" s="12"/>
      <c r="T10" s="12"/>
      <c r="U10" s="12"/>
      <c r="V10" s="12"/>
      <c r="W10" s="12"/>
      <c r="X10" s="12"/>
      <c r="Y10" s="12"/>
      <c r="Z10" s="2"/>
      <c r="AA10" s="2"/>
    </row>
    <row r="11" spans="1:27">
      <c r="A11" s="2" t="s">
        <v>176</v>
      </c>
      <c r="B11" s="16">
        <f>COGS!B11</f>
        <v>5873.0374999999995</v>
      </c>
      <c r="C11" s="16">
        <f>COGS!C11</f>
        <v>6631.8406068749991</v>
      </c>
      <c r="D11" s="16">
        <f>COGS!D11</f>
        <v>7416.8853156120931</v>
      </c>
      <c r="E11" s="16">
        <f>COGS!E11</f>
        <v>8229.7779249244504</v>
      </c>
      <c r="F11" s="16">
        <f>COGS!F11</f>
        <v>9072.1976488626005</v>
      </c>
      <c r="G11" s="16">
        <f>COGS!G11</f>
        <v>9945.9004486812064</v>
      </c>
      <c r="H11" s="16">
        <f>COGS!H11</f>
        <v>10852.723051618748</v>
      </c>
      <c r="I11" s="16">
        <f>COGS!I11</f>
        <v>11794.587166053505</v>
      </c>
      <c r="J11" s="16">
        <f>COGS!J11</f>
        <v>12773.503902969378</v>
      </c>
      <c r="K11" s="16">
        <f>COGS!K11</f>
        <v>13791.578414158921</v>
      </c>
      <c r="L11" s="16">
        <f>COGS!L11</f>
        <v>14851.01475810951</v>
      </c>
      <c r="M11" s="16">
        <f>COGS!M11</f>
        <v>15954.121005063076</v>
      </c>
      <c r="N11" s="16">
        <f>COGS!N11</f>
        <v>17103.314593311763</v>
      </c>
      <c r="O11" s="16">
        <f>COGS!O11</f>
        <v>18301.127949392292</v>
      </c>
      <c r="P11" s="16">
        <f>COGS!P11</f>
        <v>19550.214385472515</v>
      </c>
      <c r="Q11" s="16">
        <f>COGS!Q11</f>
        <v>20853.35428788569</v>
      </c>
      <c r="R11" s="16">
        <f>COGS!R11</f>
        <v>22213.461611463565</v>
      </c>
      <c r="S11" s="16">
        <f>COGS!S11</f>
        <v>23633.590695049363</v>
      </c>
      <c r="T11" s="16">
        <f>COGS!T11</f>
        <v>25116.943414338686</v>
      </c>
      <c r="U11" s="16">
        <f>COGS!U11</f>
        <v>26666.876689001372</v>
      </c>
      <c r="V11" s="16">
        <f>COGS!V11</f>
        <v>28286.910361882958</v>
      </c>
      <c r="W11" s="16">
        <f>COGS!W11</f>
        <v>29980.735468972074</v>
      </c>
      <c r="X11" s="16">
        <f>COGS!X11</f>
        <v>31752.222919752418</v>
      </c>
      <c r="Y11" s="16">
        <f>COGS!Y11</f>
        <v>33605.432608536888</v>
      </c>
      <c r="Z11" s="2"/>
      <c r="AA11" s="2"/>
    </row>
    <row r="12" spans="1:27">
      <c r="A12" s="2" t="s">
        <v>177</v>
      </c>
      <c r="B12" s="16">
        <f t="shared" ref="B12:Y12" si="1">B8-B11</f>
        <v>20822.587500000001</v>
      </c>
      <c r="C12" s="16">
        <f t="shared" si="1"/>
        <v>23512.889424375004</v>
      </c>
      <c r="D12" s="16">
        <f t="shared" si="1"/>
        <v>26296.229755351971</v>
      </c>
      <c r="E12" s="16">
        <f t="shared" si="1"/>
        <v>29178.303552004872</v>
      </c>
      <c r="F12" s="16">
        <f t="shared" si="1"/>
        <v>32165.064391421947</v>
      </c>
      <c r="G12" s="16">
        <f t="shared" si="1"/>
        <v>35262.737954415192</v>
      </c>
      <c r="H12" s="16">
        <f t="shared" si="1"/>
        <v>38477.836273921021</v>
      </c>
      <c r="I12" s="16">
        <f t="shared" si="1"/>
        <v>41817.172679644253</v>
      </c>
      <c r="J12" s="16">
        <f t="shared" si="1"/>
        <v>45287.877474164161</v>
      </c>
      <c r="K12" s="16">
        <f t="shared" si="1"/>
        <v>48897.414377472553</v>
      </c>
      <c r="L12" s="16">
        <f t="shared" si="1"/>
        <v>52653.597778751908</v>
      </c>
      <c r="M12" s="16">
        <f t="shared" si="1"/>
        <v>56564.610836132735</v>
      </c>
      <c r="N12" s="16">
        <f t="shared" si="1"/>
        <v>60639.024467196257</v>
      </c>
      <c r="O12" s="16">
        <f t="shared" si="1"/>
        <v>64885.817275118141</v>
      </c>
      <c r="P12" s="16">
        <f t="shared" si="1"/>
        <v>69314.396457584386</v>
      </c>
      <c r="Q12" s="16">
        <f t="shared" si="1"/>
        <v>73934.619747958379</v>
      </c>
      <c r="R12" s="16">
        <f t="shared" si="1"/>
        <v>78756.818440643547</v>
      </c>
      <c r="S12" s="16">
        <f t="shared" si="1"/>
        <v>83791.821555175018</v>
      </c>
      <c r="T12" s="16">
        <f t="shared" si="1"/>
        <v>89050.981196291716</v>
      </c>
      <c r="U12" s="16">
        <f t="shared" si="1"/>
        <v>94546.199170095788</v>
      </c>
      <c r="V12" s="16">
        <f t="shared" si="1"/>
        <v>100289.95491940323</v>
      </c>
      <c r="W12" s="16">
        <f t="shared" si="1"/>
        <v>106295.33484453737</v>
      </c>
      <c r="X12" s="16">
        <f t="shared" si="1"/>
        <v>112576.06307912222</v>
      </c>
      <c r="Y12" s="16">
        <f t="shared" si="1"/>
        <v>119146.53379390354</v>
      </c>
      <c r="Z12" s="2"/>
      <c r="AA12" s="2"/>
    </row>
    <row r="13" spans="1:27">
      <c r="A13" s="2" t="s">
        <v>178</v>
      </c>
      <c r="B13" s="17">
        <f t="shared" ref="B13:Y13" si="2">B12/B8</f>
        <v>0.78</v>
      </c>
      <c r="C13" s="17">
        <f t="shared" si="2"/>
        <v>0.78000000000000014</v>
      </c>
      <c r="D13" s="17">
        <f t="shared" si="2"/>
        <v>0.78</v>
      </c>
      <c r="E13" s="17">
        <f t="shared" si="2"/>
        <v>0.78</v>
      </c>
      <c r="F13" s="17">
        <f t="shared" si="2"/>
        <v>0.77999999999999992</v>
      </c>
      <c r="G13" s="17">
        <f t="shared" si="2"/>
        <v>0.78</v>
      </c>
      <c r="H13" s="17">
        <f t="shared" si="2"/>
        <v>0.78</v>
      </c>
      <c r="I13" s="17">
        <f t="shared" si="2"/>
        <v>0.78</v>
      </c>
      <c r="J13" s="17">
        <f t="shared" si="2"/>
        <v>0.78</v>
      </c>
      <c r="K13" s="17">
        <f t="shared" si="2"/>
        <v>0.78000000000000014</v>
      </c>
      <c r="L13" s="17">
        <f t="shared" si="2"/>
        <v>0.78</v>
      </c>
      <c r="M13" s="17">
        <f t="shared" si="2"/>
        <v>0.78</v>
      </c>
      <c r="N13" s="17">
        <f t="shared" si="2"/>
        <v>0.78</v>
      </c>
      <c r="O13" s="17">
        <f t="shared" si="2"/>
        <v>0.78</v>
      </c>
      <c r="P13" s="17">
        <f t="shared" si="2"/>
        <v>0.78</v>
      </c>
      <c r="Q13" s="17">
        <f t="shared" si="2"/>
        <v>0.78000000000000014</v>
      </c>
      <c r="R13" s="17">
        <f t="shared" si="2"/>
        <v>0.77999999999999992</v>
      </c>
      <c r="S13" s="17">
        <f t="shared" si="2"/>
        <v>0.78</v>
      </c>
      <c r="T13" s="17">
        <f t="shared" si="2"/>
        <v>0.78</v>
      </c>
      <c r="U13" s="17">
        <f t="shared" si="2"/>
        <v>0.78</v>
      </c>
      <c r="V13" s="17">
        <f t="shared" si="2"/>
        <v>0.78</v>
      </c>
      <c r="W13" s="17">
        <f t="shared" si="2"/>
        <v>0.78</v>
      </c>
      <c r="X13" s="17">
        <f t="shared" si="2"/>
        <v>0.78</v>
      </c>
      <c r="Y13" s="17">
        <f t="shared" si="2"/>
        <v>0.78</v>
      </c>
      <c r="Z13" s="2"/>
      <c r="AA13" s="2"/>
    </row>
    <row r="14" spans="1:27">
      <c r="A14" s="2"/>
      <c r="B14" s="16"/>
      <c r="C14" s="16"/>
      <c r="D14" s="16"/>
      <c r="E14" s="16"/>
      <c r="F14" s="16"/>
      <c r="G14" s="16"/>
      <c r="H14" s="16"/>
      <c r="I14" s="16"/>
      <c r="J14" s="16"/>
      <c r="K14" s="16"/>
      <c r="L14" s="16"/>
      <c r="M14" s="16"/>
      <c r="N14" s="16"/>
      <c r="O14" s="16"/>
      <c r="P14" s="16"/>
      <c r="Q14" s="16"/>
      <c r="R14" s="16"/>
      <c r="S14" s="16"/>
      <c r="T14" s="16"/>
      <c r="U14" s="16"/>
      <c r="V14" s="16"/>
      <c r="W14" s="16"/>
      <c r="X14" s="16"/>
      <c r="Y14" s="16"/>
      <c r="Z14" s="2"/>
      <c r="AA14" s="2"/>
    </row>
    <row r="15" spans="1:27">
      <c r="A15" s="5" t="s">
        <v>217</v>
      </c>
      <c r="B15" s="12"/>
      <c r="C15" s="12"/>
      <c r="D15" s="12"/>
      <c r="E15" s="12"/>
      <c r="F15" s="12"/>
      <c r="G15" s="12"/>
      <c r="H15" s="12"/>
      <c r="I15" s="12"/>
      <c r="J15" s="12"/>
      <c r="K15" s="12"/>
      <c r="L15" s="12"/>
      <c r="M15" s="12"/>
      <c r="N15" s="12"/>
      <c r="O15" s="12"/>
      <c r="P15" s="12"/>
      <c r="Q15" s="12"/>
      <c r="R15" s="12"/>
      <c r="S15" s="12"/>
      <c r="T15" s="12"/>
      <c r="U15" s="12"/>
      <c r="V15" s="12"/>
      <c r="W15" s="12"/>
      <c r="X15" s="12"/>
      <c r="Y15" s="12"/>
      <c r="Z15" s="2"/>
      <c r="AA15" s="2"/>
    </row>
    <row r="16" spans="1:27">
      <c r="A16" s="2" t="s">
        <v>201</v>
      </c>
      <c r="B16" s="16">
        <f>Opex!B9</f>
        <v>23800</v>
      </c>
      <c r="C16" s="16">
        <f>Opex!C9</f>
        <v>24330</v>
      </c>
      <c r="D16" s="16">
        <f>Opex!D9</f>
        <v>24884.5</v>
      </c>
      <c r="E16" s="16">
        <f>Opex!E9</f>
        <v>31789.704999999998</v>
      </c>
      <c r="F16" s="16">
        <f>Opex!F9</f>
        <v>32396.88005</v>
      </c>
      <c r="G16" s="16">
        <f>Opex!G9</f>
        <v>33032.353250500004</v>
      </c>
      <c r="H16" s="16">
        <f>Opex!H9</f>
        <v>33697.518903005002</v>
      </c>
      <c r="I16" s="16">
        <f>Opex!I9</f>
        <v>34393.840818035053</v>
      </c>
      <c r="J16" s="16">
        <f>Opex!J9</f>
        <v>35122.855788515408</v>
      </c>
      <c r="K16" s="16">
        <f>Opex!K9</f>
        <v>35886.177236815558</v>
      </c>
      <c r="L16" s="16">
        <f>Opex!L9</f>
        <v>36685.499044119468</v>
      </c>
      <c r="M16" s="16">
        <f>Opex!M9</f>
        <v>37522.599571243198</v>
      </c>
      <c r="N16" s="16">
        <f>Opex!N9</f>
        <v>38865.095880472298</v>
      </c>
      <c r="O16" s="16">
        <f>Opex!O9</f>
        <v>39783.44816846952</v>
      </c>
      <c r="P16" s="16">
        <f>Opex!P9</f>
        <v>40745.46442080634</v>
      </c>
      <c r="Q16" s="16">
        <f>Opex!Q9</f>
        <v>41753.305299199128</v>
      </c>
      <c r="R16" s="16">
        <f>Opex!R9</f>
        <v>42809.239273085092</v>
      </c>
      <c r="S16" s="16">
        <f>Opex!S9</f>
        <v>43915.648007754608</v>
      </c>
      <c r="T16" s="16">
        <f>Opex!T9</f>
        <v>45075.032021867752</v>
      </c>
      <c r="U16" s="16">
        <f>Opex!U9</f>
        <v>46290.016627823803</v>
      </c>
      <c r="V16" s="16">
        <f>Opex!V9</f>
        <v>47563.358169126295</v>
      </c>
      <c r="W16" s="16">
        <f>Opex!W9</f>
        <v>48897.950569593013</v>
      </c>
      <c r="X16" s="16">
        <f>Opex!X9</f>
        <v>50296.83221000318</v>
      </c>
      <c r="Y16" s="16">
        <f>Opex!Y9</f>
        <v>51763.193148553153</v>
      </c>
      <c r="Z16" s="2"/>
      <c r="AA16" s="2"/>
    </row>
    <row r="17" spans="1:27">
      <c r="A17" s="2" t="s">
        <v>206</v>
      </c>
      <c r="B17" s="16">
        <f>Opex!B14</f>
        <v>14350</v>
      </c>
      <c r="C17" s="16">
        <f>Opex!C14</f>
        <v>14390</v>
      </c>
      <c r="D17" s="16">
        <f>Opex!D14</f>
        <v>14430.4</v>
      </c>
      <c r="E17" s="16">
        <f>Opex!E14</f>
        <v>14471.204</v>
      </c>
      <c r="F17" s="16">
        <f>Opex!F14</f>
        <v>14512.41604</v>
      </c>
      <c r="G17" s="16">
        <f>Opex!G14</f>
        <v>24904.040200399999</v>
      </c>
      <c r="H17" s="16">
        <f>Opex!H14</f>
        <v>24946.080602403999</v>
      </c>
      <c r="I17" s="16">
        <f>Opex!I14</f>
        <v>33038.541408428035</v>
      </c>
      <c r="J17" s="16">
        <f>Opex!J14</f>
        <v>33081.426822512316</v>
      </c>
      <c r="K17" s="16">
        <f>Opex!K14</f>
        <v>33124.741090737443</v>
      </c>
      <c r="L17" s="16">
        <f>Opex!L14</f>
        <v>33168.488501644817</v>
      </c>
      <c r="M17" s="16">
        <f>Opex!M14</f>
        <v>33212.673386661263</v>
      </c>
      <c r="N17" s="16">
        <f>Opex!N14</f>
        <v>34119.800120527878</v>
      </c>
      <c r="O17" s="16">
        <f>Opex!O14</f>
        <v>34164.873121733151</v>
      </c>
      <c r="P17" s="16">
        <f>Opex!P14</f>
        <v>34210.396852950485</v>
      </c>
      <c r="Q17" s="16">
        <f>Opex!Q14</f>
        <v>34256.375821479989</v>
      </c>
      <c r="R17" s="16">
        <f>Opex!R14</f>
        <v>34302.814579694794</v>
      </c>
      <c r="S17" s="16">
        <f>Opex!S14</f>
        <v>34349.717725491741</v>
      </c>
      <c r="T17" s="16">
        <f>Opex!T14</f>
        <v>34397.089902746658</v>
      </c>
      <c r="U17" s="16">
        <f>Opex!U14</f>
        <v>34444.935801774125</v>
      </c>
      <c r="V17" s="16">
        <f>Opex!V14</f>
        <v>34493.260159791862</v>
      </c>
      <c r="W17" s="16">
        <f>Opex!W14</f>
        <v>34542.067761389786</v>
      </c>
      <c r="X17" s="16">
        <f>Opex!X14</f>
        <v>34591.363439003682</v>
      </c>
      <c r="Y17" s="16">
        <f>Opex!Y14</f>
        <v>34641.152073393721</v>
      </c>
      <c r="Z17" s="2"/>
      <c r="AA17" s="2"/>
    </row>
    <row r="18" spans="1:27">
      <c r="A18" s="2" t="s">
        <v>213</v>
      </c>
      <c r="B18" s="16">
        <f>Opex!B20</f>
        <v>13475</v>
      </c>
      <c r="C18" s="16">
        <f>Opex!C20</f>
        <v>13535</v>
      </c>
      <c r="D18" s="16">
        <f>Opex!D20</f>
        <v>13595.599999999999</v>
      </c>
      <c r="E18" s="16">
        <f>Opex!E20</f>
        <v>13656.805999999999</v>
      </c>
      <c r="F18" s="16">
        <f>Opex!F20</f>
        <v>13718.624059999998</v>
      </c>
      <c r="G18" s="16">
        <f>Opex!G20</f>
        <v>13781.060300599998</v>
      </c>
      <c r="H18" s="16">
        <f>Opex!H20</f>
        <v>13844.120903605999</v>
      </c>
      <c r="I18" s="16">
        <f>Opex!I20</f>
        <v>13907.812112642059</v>
      </c>
      <c r="J18" s="16">
        <f>Opex!J20</f>
        <v>13972.140233768481</v>
      </c>
      <c r="K18" s="16">
        <f>Opex!K20</f>
        <v>19212.111636106165</v>
      </c>
      <c r="L18" s="16">
        <f>Opex!L20</f>
        <v>19277.732752467226</v>
      </c>
      <c r="M18" s="16">
        <f>Opex!M20</f>
        <v>34344.010079991902</v>
      </c>
      <c r="N18" s="16">
        <f>Opex!N20</f>
        <v>19790.450180791817</v>
      </c>
      <c r="O18" s="16">
        <f>Opex!O20</f>
        <v>19858.059682599735</v>
      </c>
      <c r="P18" s="16">
        <f>Opex!P20</f>
        <v>19926.345279425732</v>
      </c>
      <c r="Q18" s="16">
        <f>Opex!Q20</f>
        <v>19995.313732219991</v>
      </c>
      <c r="R18" s="16">
        <f>Opex!R20</f>
        <v>20064.971869542191</v>
      </c>
      <c r="S18" s="16">
        <f>Opex!S20</f>
        <v>20135.326588237614</v>
      </c>
      <c r="T18" s="16">
        <f>Opex!T20</f>
        <v>20206.384854119991</v>
      </c>
      <c r="U18" s="16">
        <f>Opex!U20</f>
        <v>20278.153702661188</v>
      </c>
      <c r="V18" s="16">
        <f>Opex!V20</f>
        <v>20350.6402396878</v>
      </c>
      <c r="W18" s="16">
        <f>Opex!W20</f>
        <v>20423.851642084679</v>
      </c>
      <c r="X18" s="16">
        <f>Opex!X20</f>
        <v>20497.795158505527</v>
      </c>
      <c r="Y18" s="16">
        <f>Opex!Y20</f>
        <v>20572.478110090582</v>
      </c>
      <c r="Z18" s="2"/>
      <c r="AA18" s="2"/>
    </row>
    <row r="19" spans="1:27">
      <c r="A19" s="2" t="s">
        <v>229</v>
      </c>
      <c r="B19" s="16">
        <f t="shared" ref="B19:Y19" si="3">SUM(B16:B18)</f>
        <v>51625</v>
      </c>
      <c r="C19" s="16">
        <f t="shared" si="3"/>
        <v>52255</v>
      </c>
      <c r="D19" s="16">
        <f t="shared" si="3"/>
        <v>52910.5</v>
      </c>
      <c r="E19" s="16">
        <f t="shared" si="3"/>
        <v>59917.714999999997</v>
      </c>
      <c r="F19" s="16">
        <f t="shared" si="3"/>
        <v>60627.920150000005</v>
      </c>
      <c r="G19" s="16">
        <f t="shared" si="3"/>
        <v>71717.453751499997</v>
      </c>
      <c r="H19" s="16">
        <f t="shared" si="3"/>
        <v>72487.720409015004</v>
      </c>
      <c r="I19" s="16">
        <f t="shared" si="3"/>
        <v>81340.194339105146</v>
      </c>
      <c r="J19" s="16">
        <f t="shared" si="3"/>
        <v>82176.422844796209</v>
      </c>
      <c r="K19" s="16">
        <f t="shared" si="3"/>
        <v>88223.029963659152</v>
      </c>
      <c r="L19" s="16">
        <f t="shared" si="3"/>
        <v>89131.720298231507</v>
      </c>
      <c r="M19" s="16">
        <f t="shared" si="3"/>
        <v>105079.28303789637</v>
      </c>
      <c r="N19" s="16">
        <f t="shared" si="3"/>
        <v>92775.346181791989</v>
      </c>
      <c r="O19" s="16">
        <f t="shared" si="3"/>
        <v>93806.380972802406</v>
      </c>
      <c r="P19" s="16">
        <f t="shared" si="3"/>
        <v>94882.206553182565</v>
      </c>
      <c r="Q19" s="16">
        <f t="shared" si="3"/>
        <v>96004.994852899108</v>
      </c>
      <c r="R19" s="16">
        <f t="shared" si="3"/>
        <v>97177.025722322069</v>
      </c>
      <c r="S19" s="16">
        <f t="shared" si="3"/>
        <v>98400.692321483963</v>
      </c>
      <c r="T19" s="16">
        <f t="shared" si="3"/>
        <v>99678.506778734416</v>
      </c>
      <c r="U19" s="16">
        <f t="shared" si="3"/>
        <v>101013.10613225913</v>
      </c>
      <c r="V19" s="16">
        <f t="shared" si="3"/>
        <v>102407.25856860595</v>
      </c>
      <c r="W19" s="16">
        <f t="shared" si="3"/>
        <v>103863.86997306749</v>
      </c>
      <c r="X19" s="16">
        <f t="shared" si="3"/>
        <v>105385.9908075124</v>
      </c>
      <c r="Y19" s="16">
        <f t="shared" si="3"/>
        <v>106976.82333203746</v>
      </c>
      <c r="Z19" s="2"/>
      <c r="AA19" s="2"/>
    </row>
    <row r="20" spans="1:27">
      <c r="A20" s="2"/>
      <c r="B20" s="16"/>
      <c r="C20" s="16"/>
      <c r="D20" s="16"/>
      <c r="E20" s="16"/>
      <c r="F20" s="16"/>
      <c r="G20" s="16"/>
      <c r="H20" s="16"/>
      <c r="I20" s="16"/>
      <c r="J20" s="16"/>
      <c r="K20" s="16"/>
      <c r="L20" s="16"/>
      <c r="M20" s="16"/>
      <c r="N20" s="16"/>
      <c r="O20" s="16"/>
      <c r="P20" s="16"/>
      <c r="Q20" s="16"/>
      <c r="R20" s="16"/>
      <c r="S20" s="16"/>
      <c r="T20" s="16"/>
      <c r="U20" s="16"/>
      <c r="V20" s="16"/>
      <c r="W20" s="16"/>
      <c r="X20" s="16"/>
      <c r="Y20" s="16"/>
      <c r="Z20" s="2"/>
      <c r="AA20" s="2"/>
    </row>
    <row r="21" spans="1:27">
      <c r="A21" s="5" t="s">
        <v>235</v>
      </c>
      <c r="B21" s="12"/>
      <c r="C21" s="12"/>
      <c r="D21" s="12"/>
      <c r="E21" s="12"/>
      <c r="F21" s="12"/>
      <c r="G21" s="12"/>
      <c r="H21" s="12"/>
      <c r="I21" s="12"/>
      <c r="J21" s="12"/>
      <c r="K21" s="12"/>
      <c r="L21" s="12"/>
      <c r="M21" s="12"/>
      <c r="N21" s="12"/>
      <c r="O21" s="12"/>
      <c r="P21" s="12"/>
      <c r="Q21" s="12"/>
      <c r="R21" s="12"/>
      <c r="S21" s="12"/>
      <c r="T21" s="12"/>
      <c r="U21" s="12"/>
      <c r="V21" s="12"/>
      <c r="W21" s="12"/>
      <c r="X21" s="12"/>
      <c r="Y21" s="12"/>
      <c r="Z21" s="2"/>
      <c r="AA21" s="2"/>
    </row>
    <row r="22" spans="1:27">
      <c r="A22" s="2" t="s">
        <v>236</v>
      </c>
      <c r="B22" s="16">
        <f t="shared" ref="B22:Y22" si="4">B12-B19</f>
        <v>-30802.412499999999</v>
      </c>
      <c r="C22" s="16">
        <f t="shared" si="4"/>
        <v>-28742.110575624996</v>
      </c>
      <c r="D22" s="16">
        <f t="shared" si="4"/>
        <v>-26614.270244648029</v>
      </c>
      <c r="E22" s="16">
        <f t="shared" si="4"/>
        <v>-30739.411447995124</v>
      </c>
      <c r="F22" s="16">
        <f t="shared" si="4"/>
        <v>-28462.855758578058</v>
      </c>
      <c r="G22" s="16">
        <f t="shared" si="4"/>
        <v>-36454.715797084806</v>
      </c>
      <c r="H22" s="16">
        <f t="shared" si="4"/>
        <v>-34009.884135093984</v>
      </c>
      <c r="I22" s="16">
        <f t="shared" si="4"/>
        <v>-39523.021659460894</v>
      </c>
      <c r="J22" s="16">
        <f t="shared" si="4"/>
        <v>-36888.545370632048</v>
      </c>
      <c r="K22" s="16">
        <f t="shared" si="4"/>
        <v>-39325.615586186599</v>
      </c>
      <c r="L22" s="16">
        <f t="shared" si="4"/>
        <v>-36478.122519479599</v>
      </c>
      <c r="M22" s="16">
        <f t="shared" si="4"/>
        <v>-48514.672201763635</v>
      </c>
      <c r="N22" s="16">
        <f t="shared" si="4"/>
        <v>-32136.321714595731</v>
      </c>
      <c r="O22" s="16">
        <f t="shared" si="4"/>
        <v>-28920.563697684265</v>
      </c>
      <c r="P22" s="16">
        <f t="shared" si="4"/>
        <v>-25567.810095598179</v>
      </c>
      <c r="Q22" s="16">
        <f t="shared" si="4"/>
        <v>-22070.375104940729</v>
      </c>
      <c r="R22" s="16">
        <f t="shared" si="4"/>
        <v>-18420.207281678522</v>
      </c>
      <c r="S22" s="16">
        <f t="shared" si="4"/>
        <v>-14608.870766308944</v>
      </c>
      <c r="T22" s="16">
        <f t="shared" si="4"/>
        <v>-10627.5255824427</v>
      </c>
      <c r="U22" s="16">
        <f t="shared" si="4"/>
        <v>-6466.9069621633389</v>
      </c>
      <c r="V22" s="16">
        <f t="shared" si="4"/>
        <v>-2117.3036492027168</v>
      </c>
      <c r="W22" s="16">
        <f t="shared" si="4"/>
        <v>2431.4648714698851</v>
      </c>
      <c r="X22" s="16">
        <f t="shared" si="4"/>
        <v>7190.0722716098244</v>
      </c>
      <c r="Y22" s="16">
        <f t="shared" si="4"/>
        <v>12169.710461866081</v>
      </c>
      <c r="Z22" s="2"/>
      <c r="AA22" s="2"/>
    </row>
    <row r="23" spans="1:27">
      <c r="A23" s="2" t="s">
        <v>237</v>
      </c>
      <c r="B23" s="17">
        <f t="shared" ref="B23:Y23" si="5">B22/B8</f>
        <v>-1.1538374733687635</v>
      </c>
      <c r="C23" s="17">
        <f t="shared" si="5"/>
        <v>-0.95347049205048584</v>
      </c>
      <c r="D23" s="17">
        <f t="shared" si="5"/>
        <v>-0.78943373190601351</v>
      </c>
      <c r="E23" s="17">
        <f t="shared" si="5"/>
        <v>-0.82173183532422089</v>
      </c>
      <c r="F23" s="17">
        <f t="shared" si="5"/>
        <v>-0.69022176425711257</v>
      </c>
      <c r="G23" s="17">
        <f t="shared" si="5"/>
        <v>-0.80636615223934671</v>
      </c>
      <c r="H23" s="17">
        <f t="shared" si="5"/>
        <v>-0.68942830975537195</v>
      </c>
      <c r="I23" s="17">
        <f t="shared" si="5"/>
        <v>-0.73720806355198465</v>
      </c>
      <c r="J23" s="17">
        <f t="shared" si="5"/>
        <v>-0.63533702601777842</v>
      </c>
      <c r="K23" s="17">
        <f t="shared" si="5"/>
        <v>-0.62731292743686073</v>
      </c>
      <c r="L23" s="17">
        <f t="shared" si="5"/>
        <v>-0.54037970367669974</v>
      </c>
      <c r="M23" s="17">
        <f t="shared" si="5"/>
        <v>-0.66899504403914356</v>
      </c>
      <c r="N23" s="17">
        <f t="shared" si="5"/>
        <v>-0.41336962719353676</v>
      </c>
      <c r="O23" s="17">
        <f t="shared" si="5"/>
        <v>-0.34765747942338227</v>
      </c>
      <c r="P23" s="17">
        <f t="shared" si="5"/>
        <v>-0.28771644699770632</v>
      </c>
      <c r="Q23" s="17">
        <f t="shared" si="5"/>
        <v>-0.23283940108894846</v>
      </c>
      <c r="R23" s="17">
        <f t="shared" si="5"/>
        <v>-0.18243197178588114</v>
      </c>
      <c r="S23" s="17">
        <f t="shared" si="5"/>
        <v>-0.13599082805733828</v>
      </c>
      <c r="T23" s="17">
        <f t="shared" si="5"/>
        <v>-9.308678964505894E-2</v>
      </c>
      <c r="U23" s="17">
        <f t="shared" si="5"/>
        <v>-5.335156224961015E-2</v>
      </c>
      <c r="V23" s="17">
        <f t="shared" si="5"/>
        <v>-1.6467220946557649E-2</v>
      </c>
      <c r="W23" s="17">
        <f t="shared" si="5"/>
        <v>1.784219977782003E-2</v>
      </c>
      <c r="X23" s="17">
        <f t="shared" si="5"/>
        <v>4.981748533801536E-2</v>
      </c>
      <c r="Y23" s="17">
        <f t="shared" si="5"/>
        <v>7.9669746638833805E-2</v>
      </c>
      <c r="Z23" s="2"/>
      <c r="AA23" s="2"/>
    </row>
    <row r="24" spans="1:27">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spans="1:27">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spans="1:27">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spans="1: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spans="1:27">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spans="1:27">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spans="1:27">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spans="1:27">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spans="1:27">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spans="1:27">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spans="1:27">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spans="1:27">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c r="A80" s="2"/>
      <c r="B80" s="2"/>
      <c r="C80" s="2"/>
      <c r="D80" s="2"/>
      <c r="E80" s="2"/>
      <c r="F80" s="2"/>
      <c r="G80" s="2"/>
      <c r="H80" s="2"/>
      <c r="I80" s="2"/>
      <c r="J80" s="2"/>
      <c r="K80" s="2"/>
      <c r="L80" s="2"/>
      <c r="M80" s="2"/>
      <c r="N80" s="2"/>
      <c r="O80" s="2"/>
      <c r="P80" s="2"/>
      <c r="Q80" s="2"/>
      <c r="R80" s="2"/>
      <c r="S80" s="2"/>
      <c r="T80" s="2"/>
      <c r="U80" s="2"/>
      <c r="V80" s="2"/>
      <c r="W80" s="2"/>
      <c r="X80" s="2"/>
      <c r="Y80" s="2"/>
      <c r="Z80" s="2"/>
      <c r="AA80" s="2"/>
    </row>
  </sheetData>
  <mergeCells count="2">
    <mergeCell ref="A2:Y2"/>
    <mergeCell ref="A1:Y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80"/>
  <sheetViews>
    <sheetView showGridLines="0" workbookViewId="0">
      <selection sqref="A1:Y1"/>
    </sheetView>
  </sheetViews>
  <sheetFormatPr defaultRowHeight="13.8"/>
  <cols>
    <col min="1" max="1" width="34" customWidth="1"/>
    <col min="2" max="25" width="13" customWidth="1"/>
  </cols>
  <sheetData>
    <row r="1" spans="1:27">
      <c r="A1" s="55" t="s">
        <v>238</v>
      </c>
      <c r="B1" s="56"/>
      <c r="C1" s="56"/>
      <c r="D1" s="56"/>
      <c r="E1" s="56"/>
      <c r="F1" s="56"/>
      <c r="G1" s="56"/>
      <c r="H1" s="56"/>
      <c r="I1" s="56"/>
      <c r="J1" s="56"/>
      <c r="K1" s="56"/>
      <c r="L1" s="56"/>
      <c r="M1" s="56"/>
      <c r="N1" s="56"/>
      <c r="O1" s="56"/>
      <c r="P1" s="56"/>
      <c r="Q1" s="56"/>
      <c r="R1" s="56"/>
      <c r="S1" s="56"/>
      <c r="T1" s="56"/>
      <c r="U1" s="56"/>
      <c r="V1" s="56"/>
      <c r="W1" s="56"/>
      <c r="X1" s="56"/>
      <c r="Y1" s="56"/>
      <c r="Z1" s="2"/>
      <c r="AA1" s="2"/>
    </row>
    <row r="2" spans="1:27">
      <c r="A2" s="59" t="s">
        <v>239</v>
      </c>
      <c r="B2" s="56"/>
      <c r="C2" s="56"/>
      <c r="D2" s="56"/>
      <c r="E2" s="56"/>
      <c r="F2" s="56"/>
      <c r="G2" s="56"/>
      <c r="H2" s="56"/>
      <c r="I2" s="56"/>
      <c r="J2" s="56"/>
      <c r="K2" s="56"/>
      <c r="L2" s="56"/>
      <c r="M2" s="56"/>
      <c r="N2" s="56"/>
      <c r="O2" s="56"/>
      <c r="P2" s="56"/>
      <c r="Q2" s="56"/>
      <c r="R2" s="56"/>
      <c r="S2" s="56"/>
      <c r="T2" s="56"/>
      <c r="U2" s="56"/>
      <c r="V2" s="56"/>
      <c r="W2" s="56"/>
      <c r="X2" s="56"/>
      <c r="Y2" s="56"/>
      <c r="Z2" s="2"/>
      <c r="AA2" s="2"/>
    </row>
    <row r="3" spans="1:27">
      <c r="A3" s="2"/>
      <c r="B3" s="2"/>
      <c r="C3" s="2"/>
      <c r="D3" s="2"/>
      <c r="E3" s="2"/>
      <c r="F3" s="2"/>
      <c r="G3" s="2"/>
      <c r="H3" s="2"/>
      <c r="I3" s="2"/>
      <c r="J3" s="2"/>
      <c r="K3" s="2"/>
      <c r="L3" s="2"/>
      <c r="M3" s="2"/>
      <c r="N3" s="2"/>
      <c r="O3" s="2"/>
      <c r="P3" s="2"/>
      <c r="Q3" s="2"/>
      <c r="R3" s="2"/>
      <c r="S3" s="2"/>
      <c r="T3" s="2"/>
      <c r="U3" s="2"/>
      <c r="V3" s="2"/>
      <c r="W3" s="2"/>
      <c r="X3" s="2"/>
      <c r="Y3" s="2"/>
      <c r="Z3" s="2"/>
      <c r="AA3" s="2"/>
    </row>
    <row r="4" spans="1:27">
      <c r="A4" s="1" t="s">
        <v>121</v>
      </c>
      <c r="B4" s="1" t="s">
        <v>122</v>
      </c>
      <c r="C4" s="1" t="s">
        <v>123</v>
      </c>
      <c r="D4" s="1" t="s">
        <v>124</v>
      </c>
      <c r="E4" s="1" t="s">
        <v>125</v>
      </c>
      <c r="F4" s="1" t="s">
        <v>126</v>
      </c>
      <c r="G4" s="1" t="s">
        <v>127</v>
      </c>
      <c r="H4" s="1" t="s">
        <v>128</v>
      </c>
      <c r="I4" s="1" t="s">
        <v>129</v>
      </c>
      <c r="J4" s="1" t="s">
        <v>130</v>
      </c>
      <c r="K4" s="1" t="s">
        <v>131</v>
      </c>
      <c r="L4" s="1" t="s">
        <v>132</v>
      </c>
      <c r="M4" s="1" t="s">
        <v>133</v>
      </c>
      <c r="N4" s="1" t="s">
        <v>134</v>
      </c>
      <c r="O4" s="1" t="s">
        <v>135</v>
      </c>
      <c r="P4" s="1" t="s">
        <v>136</v>
      </c>
      <c r="Q4" s="1" t="s">
        <v>137</v>
      </c>
      <c r="R4" s="1" t="s">
        <v>138</v>
      </c>
      <c r="S4" s="1" t="s">
        <v>139</v>
      </c>
      <c r="T4" s="1" t="s">
        <v>140</v>
      </c>
      <c r="U4" s="1" t="s">
        <v>141</v>
      </c>
      <c r="V4" s="1" t="s">
        <v>142</v>
      </c>
      <c r="W4" s="1" t="s">
        <v>143</v>
      </c>
      <c r="X4" s="1" t="s">
        <v>144</v>
      </c>
      <c r="Y4" s="1" t="s">
        <v>145</v>
      </c>
      <c r="Z4" s="2"/>
      <c r="AA4" s="2"/>
    </row>
    <row r="5" spans="1:27">
      <c r="A5" s="5" t="s">
        <v>240</v>
      </c>
      <c r="B5" s="5"/>
      <c r="C5" s="5"/>
      <c r="D5" s="5"/>
      <c r="E5" s="5"/>
      <c r="F5" s="5"/>
      <c r="G5" s="5"/>
      <c r="H5" s="5"/>
      <c r="I5" s="5"/>
      <c r="J5" s="5"/>
      <c r="K5" s="5"/>
      <c r="L5" s="5"/>
      <c r="M5" s="5"/>
      <c r="N5" s="5"/>
      <c r="O5" s="5"/>
      <c r="P5" s="5"/>
      <c r="Q5" s="5"/>
      <c r="R5" s="5"/>
      <c r="S5" s="5"/>
      <c r="T5" s="5"/>
      <c r="U5" s="5"/>
      <c r="V5" s="5"/>
      <c r="W5" s="5"/>
      <c r="X5" s="5"/>
      <c r="Y5" s="5"/>
      <c r="Z5" s="2"/>
      <c r="AA5" s="2"/>
    </row>
    <row r="6" spans="1:27">
      <c r="A6" s="2" t="s">
        <v>241</v>
      </c>
      <c r="B6" s="16">
        <f>Assumptions!$C$8</f>
        <v>400000</v>
      </c>
      <c r="C6" s="16">
        <f>'Cash Runway'!B19</f>
        <v>369197.58750000002</v>
      </c>
      <c r="D6" s="16">
        <f>'Cash Runway'!C19</f>
        <v>340455.47692437499</v>
      </c>
      <c r="E6" s="16">
        <f>'Cash Runway'!D19</f>
        <v>313841.20667972695</v>
      </c>
      <c r="F6" s="16">
        <f>'Cash Runway'!E19</f>
        <v>283101.79523173184</v>
      </c>
      <c r="G6" s="16">
        <f>'Cash Runway'!F19</f>
        <v>254638.93947315382</v>
      </c>
      <c r="H6" s="16">
        <f>'Cash Runway'!G19</f>
        <v>218184.223676069</v>
      </c>
      <c r="I6" s="16">
        <f>'Cash Runway'!H19</f>
        <v>184174.33954097505</v>
      </c>
      <c r="J6" s="16">
        <f>'Cash Runway'!I19</f>
        <v>144651.31788151414</v>
      </c>
      <c r="K6" s="16">
        <f>'Cash Runway'!J19</f>
        <v>107762.7725108821</v>
      </c>
      <c r="L6" s="16">
        <f>'Cash Runway'!K19</f>
        <v>68437.156924695504</v>
      </c>
      <c r="M6" s="16">
        <f>'Cash Runway'!L19</f>
        <v>31959.034405215905</v>
      </c>
      <c r="N6" s="16">
        <f>'Cash Runway'!M19</f>
        <v>-16555.63779654773</v>
      </c>
      <c r="O6" s="16">
        <f>'Cash Runway'!N19</f>
        <v>-48691.959511143461</v>
      </c>
      <c r="P6" s="16">
        <f>'Cash Runway'!O19</f>
        <v>-77612.523208827726</v>
      </c>
      <c r="Q6" s="16">
        <f>'Cash Runway'!P19</f>
        <v>-103180.33330442591</v>
      </c>
      <c r="R6" s="16">
        <f>'Cash Runway'!Q19</f>
        <v>-125250.70840936663</v>
      </c>
      <c r="S6" s="16">
        <f>'Cash Runway'!R19</f>
        <v>-143670.91569104514</v>
      </c>
      <c r="T6" s="16">
        <f>'Cash Runway'!S19</f>
        <v>-158279.78645735409</v>
      </c>
      <c r="U6" s="16">
        <f>'Cash Runway'!T19</f>
        <v>-168907.31203979679</v>
      </c>
      <c r="V6" s="16">
        <f>'Cash Runway'!U19</f>
        <v>-175374.21900196013</v>
      </c>
      <c r="W6" s="16">
        <f>'Cash Runway'!V19</f>
        <v>-177491.52265116284</v>
      </c>
      <c r="X6" s="16">
        <f>'Cash Runway'!W19</f>
        <v>-175060.05777969296</v>
      </c>
      <c r="Y6" s="16">
        <f>'Cash Runway'!X19</f>
        <v>-167869.98550808313</v>
      </c>
      <c r="Z6" s="2"/>
      <c r="AA6" s="2"/>
    </row>
    <row r="7" spans="1:27">
      <c r="A7" s="2" t="s">
        <v>242</v>
      </c>
      <c r="B7" s="16">
        <f>'Revenue Model'!B21*Assumptions!$C$43</f>
        <v>26695.625</v>
      </c>
      <c r="C7" s="16">
        <f>'Revenue Model'!C21*Assumptions!$C$43</f>
        <v>30144.730031250001</v>
      </c>
      <c r="D7" s="16">
        <f>'Revenue Model'!D21*Assumptions!$C$43</f>
        <v>33713.115070964064</v>
      </c>
      <c r="E7" s="16">
        <f>'Revenue Model'!E21*Assumptions!$C$43</f>
        <v>37408.081476929321</v>
      </c>
      <c r="F7" s="16">
        <f>'Revenue Model'!F21*Assumptions!$C$43</f>
        <v>41237.26204028455</v>
      </c>
      <c r="G7" s="16">
        <f>'Revenue Model'!G21*Assumptions!$C$43</f>
        <v>45208.638403096396</v>
      </c>
      <c r="H7" s="16">
        <f>'Revenue Model'!H21*Assumptions!$C$43</f>
        <v>49330.559325539769</v>
      </c>
      <c r="I7" s="16">
        <f>'Revenue Model'!I21*Assumptions!$C$43</f>
        <v>53611.759845697758</v>
      </c>
      <c r="J7" s="16">
        <f>'Revenue Model'!J21*Assumptions!$C$43</f>
        <v>58061.381377133541</v>
      </c>
      <c r="K7" s="16">
        <f>'Revenue Model'!K21*Assumptions!$C$43</f>
        <v>62688.99279163147</v>
      </c>
      <c r="L7" s="16">
        <f>'Revenue Model'!L21*Assumptions!$C$43</f>
        <v>67504.612536861416</v>
      </c>
      <c r="M7" s="16">
        <f>'Revenue Model'!M21*Assumptions!$C$43</f>
        <v>72518.731841195811</v>
      </c>
      <c r="N7" s="16">
        <f>'Revenue Model'!N21*Assumptions!$C$43</f>
        <v>77742.33906050802</v>
      </c>
      <c r="O7" s="16">
        <f>'Revenue Model'!O21*Assumptions!$C$43</f>
        <v>83186.945224510433</v>
      </c>
      <c r="P7" s="16">
        <f>'Revenue Model'!P21*Assumptions!$C$43</f>
        <v>88864.6108430569</v>
      </c>
      <c r="Q7" s="16">
        <f>'Revenue Model'!Q21*Assumptions!$C$43</f>
        <v>94787.974035844061</v>
      </c>
      <c r="R7" s="16">
        <f>'Revenue Model'!R21*Assumptions!$C$43</f>
        <v>100970.28005210712</v>
      </c>
      <c r="S7" s="16">
        <f>'Revenue Model'!S21*Assumptions!$C$43</f>
        <v>107425.41225022438</v>
      </c>
      <c r="T7" s="16">
        <f>'Revenue Model'!T21*Assumptions!$C$43</f>
        <v>114167.92461063041</v>
      </c>
      <c r="U7" s="16">
        <f>'Revenue Model'!U21*Assumptions!$C$43</f>
        <v>121213.07585909715</v>
      </c>
      <c r="V7" s="16">
        <f>'Revenue Model'!V21*Assumptions!$C$43</f>
        <v>128576.86528128618</v>
      </c>
      <c r="W7" s="16">
        <f>'Revenue Model'!W21*Assumptions!$C$43</f>
        <v>136276.07031350944</v>
      </c>
      <c r="X7" s="16">
        <f>'Revenue Model'!X21*Assumptions!$C$43</f>
        <v>144328.28599887463</v>
      </c>
      <c r="Y7" s="16">
        <f>'Revenue Model'!Y21*Assumptions!$C$43</f>
        <v>152751.96640244042</v>
      </c>
      <c r="Z7" s="2"/>
      <c r="AA7" s="2"/>
    </row>
    <row r="8" spans="1:27">
      <c r="A8" s="2" t="s">
        <v>243</v>
      </c>
      <c r="B8" s="16">
        <f>IF(1=Assumptions!$C$46,Assumptions!$C$45,0)</f>
        <v>0</v>
      </c>
      <c r="C8" s="16">
        <f>IF(2=Assumptions!$C$46,Assumptions!$C$45,0)</f>
        <v>0</v>
      </c>
      <c r="D8" s="16">
        <f>IF(3=Assumptions!$C$46,Assumptions!$C$45,0)</f>
        <v>0</v>
      </c>
      <c r="E8" s="16">
        <f>IF(4=Assumptions!$C$46,Assumptions!$C$45,0)</f>
        <v>0</v>
      </c>
      <c r="F8" s="16">
        <f>IF(5=Assumptions!$C$46,Assumptions!$C$45,0)</f>
        <v>0</v>
      </c>
      <c r="G8" s="16">
        <f>IF(6=Assumptions!$C$46,Assumptions!$C$45,0)</f>
        <v>0</v>
      </c>
      <c r="H8" s="16">
        <f>IF(7=Assumptions!$C$46,Assumptions!$C$45,0)</f>
        <v>0</v>
      </c>
      <c r="I8" s="16">
        <f>IF(8=Assumptions!$C$46,Assumptions!$C$45,0)</f>
        <v>0</v>
      </c>
      <c r="J8" s="16">
        <f>IF(9=Assumptions!$C$46,Assumptions!$C$45,0)</f>
        <v>0</v>
      </c>
      <c r="K8" s="16">
        <f>IF(10=Assumptions!$C$46,Assumptions!$C$45,0)</f>
        <v>0</v>
      </c>
      <c r="L8" s="16">
        <f>IF(11=Assumptions!$C$46,Assumptions!$C$45,0)</f>
        <v>0</v>
      </c>
      <c r="M8" s="16">
        <f>IF(12=Assumptions!$C$46,Assumptions!$C$45,0)</f>
        <v>0</v>
      </c>
      <c r="N8" s="16">
        <f>IF(13=Assumptions!$C$46,Assumptions!$C$45,0)</f>
        <v>0</v>
      </c>
      <c r="O8" s="16">
        <f>IF(14=Assumptions!$C$46,Assumptions!$C$45,0)</f>
        <v>0</v>
      </c>
      <c r="P8" s="16">
        <f>IF(15=Assumptions!$C$46,Assumptions!$C$45,0)</f>
        <v>0</v>
      </c>
      <c r="Q8" s="16">
        <f>IF(16=Assumptions!$C$46,Assumptions!$C$45,0)</f>
        <v>0</v>
      </c>
      <c r="R8" s="16">
        <f>IF(17=Assumptions!$C$46,Assumptions!$C$45,0)</f>
        <v>0</v>
      </c>
      <c r="S8" s="16">
        <f>IF(18=Assumptions!$C$46,Assumptions!$C$45,0)</f>
        <v>0</v>
      </c>
      <c r="T8" s="16">
        <f>IF(19=Assumptions!$C$46,Assumptions!$C$45,0)</f>
        <v>0</v>
      </c>
      <c r="U8" s="16">
        <f>IF(20=Assumptions!$C$46,Assumptions!$C$45,0)</f>
        <v>0</v>
      </c>
      <c r="V8" s="16">
        <f>IF(21=Assumptions!$C$46,Assumptions!$C$45,0)</f>
        <v>0</v>
      </c>
      <c r="W8" s="16">
        <f>IF(22=Assumptions!$C$46,Assumptions!$C$45,0)</f>
        <v>0</v>
      </c>
      <c r="X8" s="16">
        <f>IF(23=Assumptions!$C$46,Assumptions!$C$45,0)</f>
        <v>0</v>
      </c>
      <c r="Y8" s="16">
        <f>IF(24=Assumptions!$C$46,Assumptions!$C$45,0)</f>
        <v>0</v>
      </c>
      <c r="Z8" s="2"/>
      <c r="AA8" s="2"/>
    </row>
    <row r="9" spans="1:27">
      <c r="A9" s="2" t="s">
        <v>244</v>
      </c>
      <c r="B9" s="16">
        <f t="shared" ref="B9:Y9" si="0">SUM(B7:B8)</f>
        <v>26695.625</v>
      </c>
      <c r="C9" s="16">
        <f t="shared" si="0"/>
        <v>30144.730031250001</v>
      </c>
      <c r="D9" s="16">
        <f t="shared" si="0"/>
        <v>33713.115070964064</v>
      </c>
      <c r="E9" s="16">
        <f t="shared" si="0"/>
        <v>37408.081476929321</v>
      </c>
      <c r="F9" s="16">
        <f t="shared" si="0"/>
        <v>41237.26204028455</v>
      </c>
      <c r="G9" s="16">
        <f t="shared" si="0"/>
        <v>45208.638403096396</v>
      </c>
      <c r="H9" s="16">
        <f t="shared" si="0"/>
        <v>49330.559325539769</v>
      </c>
      <c r="I9" s="16">
        <f t="shared" si="0"/>
        <v>53611.759845697758</v>
      </c>
      <c r="J9" s="16">
        <f t="shared" si="0"/>
        <v>58061.381377133541</v>
      </c>
      <c r="K9" s="16">
        <f t="shared" si="0"/>
        <v>62688.99279163147</v>
      </c>
      <c r="L9" s="16">
        <f t="shared" si="0"/>
        <v>67504.612536861416</v>
      </c>
      <c r="M9" s="16">
        <f t="shared" si="0"/>
        <v>72518.731841195811</v>
      </c>
      <c r="N9" s="16">
        <f t="shared" si="0"/>
        <v>77742.33906050802</v>
      </c>
      <c r="O9" s="16">
        <f t="shared" si="0"/>
        <v>83186.945224510433</v>
      </c>
      <c r="P9" s="16">
        <f t="shared" si="0"/>
        <v>88864.6108430569</v>
      </c>
      <c r="Q9" s="16">
        <f t="shared" si="0"/>
        <v>94787.974035844061</v>
      </c>
      <c r="R9" s="16">
        <f t="shared" si="0"/>
        <v>100970.28005210712</v>
      </c>
      <c r="S9" s="16">
        <f t="shared" si="0"/>
        <v>107425.41225022438</v>
      </c>
      <c r="T9" s="16">
        <f t="shared" si="0"/>
        <v>114167.92461063041</v>
      </c>
      <c r="U9" s="16">
        <f t="shared" si="0"/>
        <v>121213.07585909715</v>
      </c>
      <c r="V9" s="16">
        <f t="shared" si="0"/>
        <v>128576.86528128618</v>
      </c>
      <c r="W9" s="16">
        <f t="shared" si="0"/>
        <v>136276.07031350944</v>
      </c>
      <c r="X9" s="16">
        <f t="shared" si="0"/>
        <v>144328.28599887463</v>
      </c>
      <c r="Y9" s="16">
        <f t="shared" si="0"/>
        <v>152751.96640244042</v>
      </c>
      <c r="Z9" s="2"/>
      <c r="AA9" s="2"/>
    </row>
    <row r="10" spans="1:27">
      <c r="A10" s="2"/>
      <c r="B10" s="16"/>
      <c r="C10" s="16"/>
      <c r="D10" s="16"/>
      <c r="E10" s="16"/>
      <c r="F10" s="16"/>
      <c r="G10" s="16"/>
      <c r="H10" s="16"/>
      <c r="I10" s="16"/>
      <c r="J10" s="16"/>
      <c r="K10" s="16"/>
      <c r="L10" s="16"/>
      <c r="M10" s="16"/>
      <c r="N10" s="16"/>
      <c r="O10" s="16"/>
      <c r="P10" s="16"/>
      <c r="Q10" s="16"/>
      <c r="R10" s="16"/>
      <c r="S10" s="16"/>
      <c r="T10" s="16"/>
      <c r="U10" s="16"/>
      <c r="V10" s="16"/>
      <c r="W10" s="16"/>
      <c r="X10" s="16"/>
      <c r="Y10" s="16"/>
      <c r="Z10" s="2"/>
      <c r="AA10" s="2"/>
    </row>
    <row r="11" spans="1:27">
      <c r="A11" s="5" t="s">
        <v>245</v>
      </c>
      <c r="B11" s="12"/>
      <c r="C11" s="12"/>
      <c r="D11" s="12"/>
      <c r="E11" s="12"/>
      <c r="F11" s="12"/>
      <c r="G11" s="12"/>
      <c r="H11" s="12"/>
      <c r="I11" s="12"/>
      <c r="J11" s="12"/>
      <c r="K11" s="12"/>
      <c r="L11" s="12"/>
      <c r="M11" s="12"/>
      <c r="N11" s="12"/>
      <c r="O11" s="12"/>
      <c r="P11" s="12"/>
      <c r="Q11" s="12"/>
      <c r="R11" s="12"/>
      <c r="S11" s="12"/>
      <c r="T11" s="12"/>
      <c r="U11" s="12"/>
      <c r="V11" s="12"/>
      <c r="W11" s="12"/>
      <c r="X11" s="12"/>
      <c r="Y11" s="12"/>
      <c r="Z11" s="2"/>
      <c r="AA11" s="2"/>
    </row>
    <row r="12" spans="1:27">
      <c r="A12" s="2" t="s">
        <v>246</v>
      </c>
      <c r="B12" s="16">
        <f>COGS!B11</f>
        <v>5873.0374999999995</v>
      </c>
      <c r="C12" s="16">
        <f>COGS!C11</f>
        <v>6631.8406068749991</v>
      </c>
      <c r="D12" s="16">
        <f>COGS!D11</f>
        <v>7416.8853156120931</v>
      </c>
      <c r="E12" s="16">
        <f>COGS!E11</f>
        <v>8229.7779249244504</v>
      </c>
      <c r="F12" s="16">
        <f>COGS!F11</f>
        <v>9072.1976488626005</v>
      </c>
      <c r="G12" s="16">
        <f>COGS!G11</f>
        <v>9945.9004486812064</v>
      </c>
      <c r="H12" s="16">
        <f>COGS!H11</f>
        <v>10852.723051618748</v>
      </c>
      <c r="I12" s="16">
        <f>COGS!I11</f>
        <v>11794.587166053505</v>
      </c>
      <c r="J12" s="16">
        <f>COGS!J11</f>
        <v>12773.503902969378</v>
      </c>
      <c r="K12" s="16">
        <f>COGS!K11</f>
        <v>13791.578414158921</v>
      </c>
      <c r="L12" s="16">
        <f>COGS!L11</f>
        <v>14851.01475810951</v>
      </c>
      <c r="M12" s="16">
        <f>COGS!M11</f>
        <v>15954.121005063076</v>
      </c>
      <c r="N12" s="16">
        <f>COGS!N11</f>
        <v>17103.314593311763</v>
      </c>
      <c r="O12" s="16">
        <f>COGS!O11</f>
        <v>18301.127949392292</v>
      </c>
      <c r="P12" s="16">
        <f>COGS!P11</f>
        <v>19550.214385472515</v>
      </c>
      <c r="Q12" s="16">
        <f>COGS!Q11</f>
        <v>20853.35428788569</v>
      </c>
      <c r="R12" s="16">
        <f>COGS!R11</f>
        <v>22213.461611463565</v>
      </c>
      <c r="S12" s="16">
        <f>COGS!S11</f>
        <v>23633.590695049363</v>
      </c>
      <c r="T12" s="16">
        <f>COGS!T11</f>
        <v>25116.943414338686</v>
      </c>
      <c r="U12" s="16">
        <f>COGS!U11</f>
        <v>26666.876689001372</v>
      </c>
      <c r="V12" s="16">
        <f>COGS!V11</f>
        <v>28286.910361882958</v>
      </c>
      <c r="W12" s="16">
        <f>COGS!W11</f>
        <v>29980.735468972074</v>
      </c>
      <c r="X12" s="16">
        <f>COGS!X11</f>
        <v>31752.222919752418</v>
      </c>
      <c r="Y12" s="16">
        <f>COGS!Y11</f>
        <v>33605.432608536888</v>
      </c>
      <c r="Z12" s="2"/>
      <c r="AA12" s="2"/>
    </row>
    <row r="13" spans="1:27">
      <c r="A13" s="2" t="s">
        <v>247</v>
      </c>
      <c r="B13" s="16">
        <f>Opex!B22</f>
        <v>51625</v>
      </c>
      <c r="C13" s="16">
        <f>Opex!C22</f>
        <v>52255</v>
      </c>
      <c r="D13" s="16">
        <f>Opex!D22</f>
        <v>52910.5</v>
      </c>
      <c r="E13" s="16">
        <f>Opex!E22</f>
        <v>59917.714999999997</v>
      </c>
      <c r="F13" s="16">
        <f>Opex!F22</f>
        <v>60627.920150000005</v>
      </c>
      <c r="G13" s="16">
        <f>Opex!G22</f>
        <v>71717.453751499997</v>
      </c>
      <c r="H13" s="16">
        <f>Opex!H22</f>
        <v>72487.720409015004</v>
      </c>
      <c r="I13" s="16">
        <f>Opex!I22</f>
        <v>81340.194339105146</v>
      </c>
      <c r="J13" s="16">
        <f>Opex!J22</f>
        <v>82176.422844796209</v>
      </c>
      <c r="K13" s="16">
        <f>Opex!K22</f>
        <v>88223.029963659152</v>
      </c>
      <c r="L13" s="16">
        <f>Opex!L22</f>
        <v>89131.720298231507</v>
      </c>
      <c r="M13" s="16">
        <f>Opex!M22</f>
        <v>105079.28303789637</v>
      </c>
      <c r="N13" s="16">
        <f>Opex!N22</f>
        <v>92775.346181791989</v>
      </c>
      <c r="O13" s="16">
        <f>Opex!O22</f>
        <v>93806.380972802406</v>
      </c>
      <c r="P13" s="16">
        <f>Opex!P22</f>
        <v>94882.206553182565</v>
      </c>
      <c r="Q13" s="16">
        <f>Opex!Q22</f>
        <v>96004.994852899108</v>
      </c>
      <c r="R13" s="16">
        <f>Opex!R22</f>
        <v>97177.025722322069</v>
      </c>
      <c r="S13" s="16">
        <f>Opex!S22</f>
        <v>98400.692321483963</v>
      </c>
      <c r="T13" s="16">
        <f>Opex!T22</f>
        <v>99678.506778734416</v>
      </c>
      <c r="U13" s="16">
        <f>Opex!U22</f>
        <v>101013.10613225913</v>
      </c>
      <c r="V13" s="16">
        <f>Opex!V22</f>
        <v>102407.25856860595</v>
      </c>
      <c r="W13" s="16">
        <f>Opex!W22</f>
        <v>103863.86997306749</v>
      </c>
      <c r="X13" s="16">
        <f>Opex!X22</f>
        <v>105385.9908075124</v>
      </c>
      <c r="Y13" s="16">
        <f>Opex!Y22</f>
        <v>106976.82333203746</v>
      </c>
      <c r="Z13" s="2"/>
      <c r="AA13" s="2"/>
    </row>
    <row r="14" spans="1:27">
      <c r="A14" s="2" t="s">
        <v>248</v>
      </c>
      <c r="B14" s="16">
        <f>Assumptions!$C$44</f>
        <v>0</v>
      </c>
      <c r="C14" s="16">
        <f>Assumptions!$C$44</f>
        <v>0</v>
      </c>
      <c r="D14" s="16">
        <f>Assumptions!$C$44</f>
        <v>0</v>
      </c>
      <c r="E14" s="16">
        <f>Assumptions!$C$44</f>
        <v>0</v>
      </c>
      <c r="F14" s="16">
        <f>Assumptions!$C$44</f>
        <v>0</v>
      </c>
      <c r="G14" s="16">
        <f>Assumptions!$C$44</f>
        <v>0</v>
      </c>
      <c r="H14" s="16">
        <f>Assumptions!$C$44</f>
        <v>0</v>
      </c>
      <c r="I14" s="16">
        <f>Assumptions!$C$44</f>
        <v>0</v>
      </c>
      <c r="J14" s="16">
        <f>Assumptions!$C$44</f>
        <v>0</v>
      </c>
      <c r="K14" s="16">
        <f>Assumptions!$C$44</f>
        <v>0</v>
      </c>
      <c r="L14" s="16">
        <f>Assumptions!$C$44</f>
        <v>0</v>
      </c>
      <c r="M14" s="16">
        <f>Assumptions!$C$44</f>
        <v>0</v>
      </c>
      <c r="N14" s="16">
        <f>Assumptions!$C$44</f>
        <v>0</v>
      </c>
      <c r="O14" s="16">
        <f>Assumptions!$C$44</f>
        <v>0</v>
      </c>
      <c r="P14" s="16">
        <f>Assumptions!$C$44</f>
        <v>0</v>
      </c>
      <c r="Q14" s="16">
        <f>Assumptions!$C$44</f>
        <v>0</v>
      </c>
      <c r="R14" s="16">
        <f>Assumptions!$C$44</f>
        <v>0</v>
      </c>
      <c r="S14" s="16">
        <f>Assumptions!$C$44</f>
        <v>0</v>
      </c>
      <c r="T14" s="16">
        <f>Assumptions!$C$44</f>
        <v>0</v>
      </c>
      <c r="U14" s="16">
        <f>Assumptions!$C$44</f>
        <v>0</v>
      </c>
      <c r="V14" s="16">
        <f>Assumptions!$C$44</f>
        <v>0</v>
      </c>
      <c r="W14" s="16">
        <f>Assumptions!$C$44</f>
        <v>0</v>
      </c>
      <c r="X14" s="16">
        <f>Assumptions!$C$44</f>
        <v>0</v>
      </c>
      <c r="Y14" s="16">
        <f>Assumptions!$C$44</f>
        <v>0</v>
      </c>
      <c r="Z14" s="2"/>
      <c r="AA14" s="2"/>
    </row>
    <row r="15" spans="1:27">
      <c r="A15" s="2" t="s">
        <v>249</v>
      </c>
      <c r="B15" s="16">
        <f t="shared" ref="B15:Y15" si="1">SUM(B12:B14)</f>
        <v>57498.037499999999</v>
      </c>
      <c r="C15" s="16">
        <f t="shared" si="1"/>
        <v>58886.840606874997</v>
      </c>
      <c r="D15" s="16">
        <f t="shared" si="1"/>
        <v>60327.385315612089</v>
      </c>
      <c r="E15" s="16">
        <f t="shared" si="1"/>
        <v>68147.492924924445</v>
      </c>
      <c r="F15" s="16">
        <f t="shared" si="1"/>
        <v>69700.1177988626</v>
      </c>
      <c r="G15" s="16">
        <f t="shared" si="1"/>
        <v>81663.354200181202</v>
      </c>
      <c r="H15" s="16">
        <f t="shared" si="1"/>
        <v>83340.443460633745</v>
      </c>
      <c r="I15" s="16">
        <f t="shared" si="1"/>
        <v>93134.781505158651</v>
      </c>
      <c r="J15" s="16">
        <f t="shared" si="1"/>
        <v>94949.926747765581</v>
      </c>
      <c r="K15" s="16">
        <f t="shared" si="1"/>
        <v>102014.60837781808</v>
      </c>
      <c r="L15" s="16">
        <f t="shared" si="1"/>
        <v>103982.73505634101</v>
      </c>
      <c r="M15" s="16">
        <f t="shared" si="1"/>
        <v>121033.40404295945</v>
      </c>
      <c r="N15" s="16">
        <f t="shared" si="1"/>
        <v>109878.66077510375</v>
      </c>
      <c r="O15" s="16">
        <f t="shared" si="1"/>
        <v>112107.5089221947</v>
      </c>
      <c r="P15" s="16">
        <f t="shared" si="1"/>
        <v>114432.42093865508</v>
      </c>
      <c r="Q15" s="16">
        <f t="shared" si="1"/>
        <v>116858.34914078479</v>
      </c>
      <c r="R15" s="16">
        <f t="shared" si="1"/>
        <v>119390.48733378563</v>
      </c>
      <c r="S15" s="16">
        <f t="shared" si="1"/>
        <v>122034.28301653333</v>
      </c>
      <c r="T15" s="16">
        <f t="shared" si="1"/>
        <v>124795.45019307311</v>
      </c>
      <c r="U15" s="16">
        <f t="shared" si="1"/>
        <v>127679.98282126049</v>
      </c>
      <c r="V15" s="16">
        <f t="shared" si="1"/>
        <v>130694.1689304889</v>
      </c>
      <c r="W15" s="16">
        <f t="shared" si="1"/>
        <v>133844.60544203955</v>
      </c>
      <c r="X15" s="16">
        <f t="shared" si="1"/>
        <v>137138.21372726481</v>
      </c>
      <c r="Y15" s="16">
        <f t="shared" si="1"/>
        <v>140582.25594057434</v>
      </c>
      <c r="Z15" s="2"/>
      <c r="AA15" s="2"/>
    </row>
    <row r="16" spans="1:27">
      <c r="A16" s="2"/>
      <c r="B16" s="16"/>
      <c r="C16" s="16"/>
      <c r="D16" s="16"/>
      <c r="E16" s="16"/>
      <c r="F16" s="16"/>
      <c r="G16" s="16"/>
      <c r="H16" s="16"/>
      <c r="I16" s="16"/>
      <c r="J16" s="16"/>
      <c r="K16" s="16"/>
      <c r="L16" s="16"/>
      <c r="M16" s="16"/>
      <c r="N16" s="16"/>
      <c r="O16" s="16"/>
      <c r="P16" s="16"/>
      <c r="Q16" s="16"/>
      <c r="R16" s="16"/>
      <c r="S16" s="16"/>
      <c r="T16" s="16"/>
      <c r="U16" s="16"/>
      <c r="V16" s="16"/>
      <c r="W16" s="16"/>
      <c r="X16" s="16"/>
      <c r="Y16" s="16"/>
      <c r="Z16" s="2"/>
      <c r="AA16" s="2"/>
    </row>
    <row r="17" spans="1:27">
      <c r="A17" s="5" t="s">
        <v>250</v>
      </c>
      <c r="B17" s="12"/>
      <c r="C17" s="12"/>
      <c r="D17" s="12"/>
      <c r="E17" s="12"/>
      <c r="F17" s="12"/>
      <c r="G17" s="12"/>
      <c r="H17" s="12"/>
      <c r="I17" s="12"/>
      <c r="J17" s="12"/>
      <c r="K17" s="12"/>
      <c r="L17" s="12"/>
      <c r="M17" s="12"/>
      <c r="N17" s="12"/>
      <c r="O17" s="12"/>
      <c r="P17" s="12"/>
      <c r="Q17" s="12"/>
      <c r="R17" s="12"/>
      <c r="S17" s="12"/>
      <c r="T17" s="12"/>
      <c r="U17" s="12"/>
      <c r="V17" s="12"/>
      <c r="W17" s="12"/>
      <c r="X17" s="12"/>
      <c r="Y17" s="12"/>
      <c r="Z17" s="2"/>
      <c r="AA17" s="2"/>
    </row>
    <row r="18" spans="1:27">
      <c r="A18" s="2" t="s">
        <v>251</v>
      </c>
      <c r="B18" s="16">
        <f t="shared" ref="B18:Y18" si="2">B15-B9</f>
        <v>30802.412499999999</v>
      </c>
      <c r="C18" s="16">
        <f t="shared" si="2"/>
        <v>28742.110575624996</v>
      </c>
      <c r="D18" s="16">
        <f t="shared" si="2"/>
        <v>26614.270244648025</v>
      </c>
      <c r="E18" s="16">
        <f t="shared" si="2"/>
        <v>30739.411447995124</v>
      </c>
      <c r="F18" s="16">
        <f t="shared" si="2"/>
        <v>28462.855758578051</v>
      </c>
      <c r="G18" s="16">
        <f t="shared" si="2"/>
        <v>36454.715797084806</v>
      </c>
      <c r="H18" s="16">
        <f t="shared" si="2"/>
        <v>34009.884135093977</v>
      </c>
      <c r="I18" s="16">
        <f t="shared" si="2"/>
        <v>39523.021659460894</v>
      </c>
      <c r="J18" s="16">
        <f t="shared" si="2"/>
        <v>36888.54537063204</v>
      </c>
      <c r="K18" s="16">
        <f t="shared" si="2"/>
        <v>39325.615586186606</v>
      </c>
      <c r="L18" s="16">
        <f t="shared" si="2"/>
        <v>36478.122519479599</v>
      </c>
      <c r="M18" s="16">
        <f t="shared" si="2"/>
        <v>48514.672201763635</v>
      </c>
      <c r="N18" s="16">
        <f t="shared" si="2"/>
        <v>32136.321714595731</v>
      </c>
      <c r="O18" s="16">
        <f t="shared" si="2"/>
        <v>28920.563697684265</v>
      </c>
      <c r="P18" s="16">
        <f t="shared" si="2"/>
        <v>25567.810095598179</v>
      </c>
      <c r="Q18" s="16">
        <f t="shared" si="2"/>
        <v>22070.375104940729</v>
      </c>
      <c r="R18" s="16">
        <f t="shared" si="2"/>
        <v>18420.207281678508</v>
      </c>
      <c r="S18" s="16">
        <f t="shared" si="2"/>
        <v>14608.870766308944</v>
      </c>
      <c r="T18" s="16">
        <f t="shared" si="2"/>
        <v>10627.5255824427</v>
      </c>
      <c r="U18" s="16">
        <f t="shared" si="2"/>
        <v>6466.9069621633389</v>
      </c>
      <c r="V18" s="16">
        <f t="shared" si="2"/>
        <v>2117.3036492027168</v>
      </c>
      <c r="W18" s="16">
        <f t="shared" si="2"/>
        <v>-2431.4648714698851</v>
      </c>
      <c r="X18" s="16">
        <f t="shared" si="2"/>
        <v>-7190.0722716098244</v>
      </c>
      <c r="Y18" s="16">
        <f t="shared" si="2"/>
        <v>-12169.710461866081</v>
      </c>
      <c r="Z18" s="2"/>
      <c r="AA18" s="2"/>
    </row>
    <row r="19" spans="1:27">
      <c r="A19" s="2" t="s">
        <v>252</v>
      </c>
      <c r="B19" s="16">
        <f t="shared" ref="B19:Y19" si="3">B6+B9-B15</f>
        <v>369197.58750000002</v>
      </c>
      <c r="C19" s="16">
        <f t="shared" si="3"/>
        <v>340455.47692437499</v>
      </c>
      <c r="D19" s="16">
        <f t="shared" si="3"/>
        <v>313841.20667972695</v>
      </c>
      <c r="E19" s="16">
        <f t="shared" si="3"/>
        <v>283101.79523173184</v>
      </c>
      <c r="F19" s="16">
        <f t="shared" si="3"/>
        <v>254638.93947315382</v>
      </c>
      <c r="G19" s="16">
        <f t="shared" si="3"/>
        <v>218184.223676069</v>
      </c>
      <c r="H19" s="16">
        <f t="shared" si="3"/>
        <v>184174.33954097505</v>
      </c>
      <c r="I19" s="16">
        <f t="shared" si="3"/>
        <v>144651.31788151414</v>
      </c>
      <c r="J19" s="16">
        <f t="shared" si="3"/>
        <v>107762.7725108821</v>
      </c>
      <c r="K19" s="16">
        <f t="shared" si="3"/>
        <v>68437.156924695504</v>
      </c>
      <c r="L19" s="16">
        <f t="shared" si="3"/>
        <v>31959.034405215905</v>
      </c>
      <c r="M19" s="16">
        <f t="shared" si="3"/>
        <v>-16555.63779654773</v>
      </c>
      <c r="N19" s="16">
        <f t="shared" si="3"/>
        <v>-48691.959511143461</v>
      </c>
      <c r="O19" s="16">
        <f t="shared" si="3"/>
        <v>-77612.523208827726</v>
      </c>
      <c r="P19" s="16">
        <f t="shared" si="3"/>
        <v>-103180.33330442591</v>
      </c>
      <c r="Q19" s="16">
        <f t="shared" si="3"/>
        <v>-125250.70840936663</v>
      </c>
      <c r="R19" s="16">
        <f t="shared" si="3"/>
        <v>-143670.91569104514</v>
      </c>
      <c r="S19" s="16">
        <f t="shared" si="3"/>
        <v>-158279.78645735409</v>
      </c>
      <c r="T19" s="16">
        <f t="shared" si="3"/>
        <v>-168907.31203979679</v>
      </c>
      <c r="U19" s="16">
        <f t="shared" si="3"/>
        <v>-175374.21900196013</v>
      </c>
      <c r="V19" s="16">
        <f t="shared" si="3"/>
        <v>-177491.52265116284</v>
      </c>
      <c r="W19" s="16">
        <f t="shared" si="3"/>
        <v>-175060.05777969296</v>
      </c>
      <c r="X19" s="16">
        <f t="shared" si="3"/>
        <v>-167869.98550808313</v>
      </c>
      <c r="Y19" s="16">
        <f t="shared" si="3"/>
        <v>-155700.27504621705</v>
      </c>
      <c r="Z19" s="2"/>
      <c r="AA19" s="2"/>
    </row>
    <row r="20" spans="1:27">
      <c r="A20" s="2" t="s">
        <v>253</v>
      </c>
      <c r="B20" s="20">
        <f t="shared" ref="B20:Y20" si="4">IF(B18&gt;0,B19/B18,"Profitable")</f>
        <v>11.985995820944222</v>
      </c>
      <c r="C20" s="20">
        <f t="shared" si="4"/>
        <v>11.845180124423475</v>
      </c>
      <c r="D20" s="20">
        <f t="shared" si="4"/>
        <v>11.79221537148247</v>
      </c>
      <c r="E20" s="20">
        <f t="shared" si="4"/>
        <v>9.2097337553349998</v>
      </c>
      <c r="F20" s="20">
        <f t="shared" si="4"/>
        <v>8.9463594810373692</v>
      </c>
      <c r="G20" s="20">
        <f t="shared" si="4"/>
        <v>5.9850754259210728</v>
      </c>
      <c r="H20" s="20">
        <f t="shared" si="4"/>
        <v>5.4153180531106253</v>
      </c>
      <c r="I20" s="20">
        <f t="shared" si="4"/>
        <v>3.6599255777521753</v>
      </c>
      <c r="J20" s="20">
        <f t="shared" si="4"/>
        <v>2.9213071816237823</v>
      </c>
      <c r="K20" s="20">
        <f t="shared" si="4"/>
        <v>1.740269183446286</v>
      </c>
      <c r="L20" s="20">
        <f t="shared" si="4"/>
        <v>0.87611511223335392</v>
      </c>
      <c r="M20" s="20">
        <f t="shared" si="4"/>
        <v>-0.34125012177132447</v>
      </c>
      <c r="N20" s="20">
        <f t="shared" si="4"/>
        <v>-1.5151690334562609</v>
      </c>
      <c r="O20" s="20">
        <f t="shared" si="4"/>
        <v>-2.6836448978012948</v>
      </c>
      <c r="P20" s="20">
        <f t="shared" si="4"/>
        <v>-4.0355561512164746</v>
      </c>
      <c r="Q20" s="20">
        <f t="shared" si="4"/>
        <v>-5.6750602476768828</v>
      </c>
      <c r="R20" s="20">
        <f t="shared" si="4"/>
        <v>-7.7996362089771987</v>
      </c>
      <c r="S20" s="20">
        <f t="shared" si="4"/>
        <v>-10.834498366730697</v>
      </c>
      <c r="T20" s="20">
        <f t="shared" si="4"/>
        <v>-15.893380893746484</v>
      </c>
      <c r="U20" s="20">
        <f t="shared" si="4"/>
        <v>-27.118716880889401</v>
      </c>
      <c r="V20" s="20">
        <f t="shared" si="4"/>
        <v>-83.829035442317561</v>
      </c>
      <c r="W20" s="20" t="str">
        <f t="shared" si="4"/>
        <v>Profitable</v>
      </c>
      <c r="X20" s="20" t="str">
        <f t="shared" si="4"/>
        <v>Profitable</v>
      </c>
      <c r="Y20" s="20" t="str">
        <f t="shared" si="4"/>
        <v>Profitable</v>
      </c>
      <c r="Z20" s="2"/>
      <c r="AA20" s="2"/>
    </row>
    <row r="21" spans="1:27">
      <c r="A21" s="2" t="s">
        <v>254</v>
      </c>
      <c r="B21" s="16">
        <f>MAX(0,Assumptions!$C$9-B19)</f>
        <v>0</v>
      </c>
      <c r="C21" s="16">
        <f>MAX(0,Assumptions!$C$9-C19)</f>
        <v>0</v>
      </c>
      <c r="D21" s="16">
        <f>MAX(0,Assumptions!$C$9-D19)</f>
        <v>0</v>
      </c>
      <c r="E21" s="16">
        <f>MAX(0,Assumptions!$C$9-E19)</f>
        <v>0</v>
      </c>
      <c r="F21" s="16">
        <f>MAX(0,Assumptions!$C$9-F19)</f>
        <v>0</v>
      </c>
      <c r="G21" s="16">
        <f>MAX(0,Assumptions!$C$9-G19)</f>
        <v>0</v>
      </c>
      <c r="H21" s="16">
        <f>MAX(0,Assumptions!$C$9-H19)</f>
        <v>0</v>
      </c>
      <c r="I21" s="16">
        <f>MAX(0,Assumptions!$C$9-I19)</f>
        <v>0</v>
      </c>
      <c r="J21" s="16">
        <f>MAX(0,Assumptions!$C$9-J19)</f>
        <v>0</v>
      </c>
      <c r="K21" s="16">
        <f>MAX(0,Assumptions!$C$9-K19)</f>
        <v>6562.8430753044959</v>
      </c>
      <c r="L21" s="16">
        <f>MAX(0,Assumptions!$C$9-L19)</f>
        <v>43040.965594784095</v>
      </c>
      <c r="M21" s="16">
        <f>MAX(0,Assumptions!$C$9-M19)</f>
        <v>91555.63779654773</v>
      </c>
      <c r="N21" s="16">
        <f>MAX(0,Assumptions!$C$9-N19)</f>
        <v>123691.95951114346</v>
      </c>
      <c r="O21" s="16">
        <f>MAX(0,Assumptions!$C$9-O19)</f>
        <v>152612.52320882771</v>
      </c>
      <c r="P21" s="16">
        <f>MAX(0,Assumptions!$C$9-P19)</f>
        <v>178180.33330442591</v>
      </c>
      <c r="Q21" s="16">
        <f>MAX(0,Assumptions!$C$9-Q19)</f>
        <v>200250.70840936663</v>
      </c>
      <c r="R21" s="16">
        <f>MAX(0,Assumptions!$C$9-R19)</f>
        <v>218670.91569104514</v>
      </c>
      <c r="S21" s="16">
        <f>MAX(0,Assumptions!$C$9-S19)</f>
        <v>233279.78645735409</v>
      </c>
      <c r="T21" s="16">
        <f>MAX(0,Assumptions!$C$9-T19)</f>
        <v>243907.31203979679</v>
      </c>
      <c r="U21" s="16">
        <f>MAX(0,Assumptions!$C$9-U19)</f>
        <v>250374.21900196013</v>
      </c>
      <c r="V21" s="16">
        <f>MAX(0,Assumptions!$C$9-V19)</f>
        <v>252491.52265116284</v>
      </c>
      <c r="W21" s="16">
        <f>MAX(0,Assumptions!$C$9-W19)</f>
        <v>250060.05777969296</v>
      </c>
      <c r="X21" s="16">
        <f>MAX(0,Assumptions!$C$9-X19)</f>
        <v>242869.98550808313</v>
      </c>
      <c r="Y21" s="16">
        <f>MAX(0,Assumptions!$C$9-Y19)</f>
        <v>230700.27504621705</v>
      </c>
      <c r="Z21" s="2"/>
      <c r="AA21" s="2"/>
    </row>
    <row r="22" spans="1:27" ht="27.6">
      <c r="A22" s="2" t="s">
        <v>255</v>
      </c>
      <c r="B22" s="2" t="str">
        <f>IF(B19&lt;0,"Negative Cash",IF(B19&lt;Assumptions!$C$9,"Below Minimum","Healthy"))</f>
        <v>Healthy</v>
      </c>
      <c r="C22" s="2" t="str">
        <f>IF(C19&lt;0,"Negative Cash",IF(C19&lt;Assumptions!$C$9,"Below Minimum","Healthy"))</f>
        <v>Healthy</v>
      </c>
      <c r="D22" s="2" t="str">
        <f>IF(D19&lt;0,"Negative Cash",IF(D19&lt;Assumptions!$C$9,"Below Minimum","Healthy"))</f>
        <v>Healthy</v>
      </c>
      <c r="E22" s="2" t="str">
        <f>IF(E19&lt;0,"Negative Cash",IF(E19&lt;Assumptions!$C$9,"Below Minimum","Healthy"))</f>
        <v>Healthy</v>
      </c>
      <c r="F22" s="2" t="str">
        <f>IF(F19&lt;0,"Negative Cash",IF(F19&lt;Assumptions!$C$9,"Below Minimum","Healthy"))</f>
        <v>Healthy</v>
      </c>
      <c r="G22" s="2" t="str">
        <f>IF(G19&lt;0,"Negative Cash",IF(G19&lt;Assumptions!$C$9,"Below Minimum","Healthy"))</f>
        <v>Healthy</v>
      </c>
      <c r="H22" s="2" t="str">
        <f>IF(H19&lt;0,"Negative Cash",IF(H19&lt;Assumptions!$C$9,"Below Minimum","Healthy"))</f>
        <v>Healthy</v>
      </c>
      <c r="I22" s="2" t="str">
        <f>IF(I19&lt;0,"Negative Cash",IF(I19&lt;Assumptions!$C$9,"Below Minimum","Healthy"))</f>
        <v>Healthy</v>
      </c>
      <c r="J22" s="2" t="str">
        <f>IF(J19&lt;0,"Negative Cash",IF(J19&lt;Assumptions!$C$9,"Below Minimum","Healthy"))</f>
        <v>Healthy</v>
      </c>
      <c r="K22" s="2" t="str">
        <f>IF(K19&lt;0,"Negative Cash",IF(K19&lt;Assumptions!$C$9,"Below Minimum","Healthy"))</f>
        <v>Below Minimum</v>
      </c>
      <c r="L22" s="2" t="str">
        <f>IF(L19&lt;0,"Negative Cash",IF(L19&lt;Assumptions!$C$9,"Below Minimum","Healthy"))</f>
        <v>Below Minimum</v>
      </c>
      <c r="M22" s="2" t="str">
        <f>IF(M19&lt;0,"Negative Cash",IF(M19&lt;Assumptions!$C$9,"Below Minimum","Healthy"))</f>
        <v>Negative Cash</v>
      </c>
      <c r="N22" s="2" t="str">
        <f>IF(N19&lt;0,"Negative Cash",IF(N19&lt;Assumptions!$C$9,"Below Minimum","Healthy"))</f>
        <v>Negative Cash</v>
      </c>
      <c r="O22" s="2" t="str">
        <f>IF(O19&lt;0,"Negative Cash",IF(O19&lt;Assumptions!$C$9,"Below Minimum","Healthy"))</f>
        <v>Negative Cash</v>
      </c>
      <c r="P22" s="2" t="str">
        <f>IF(P19&lt;0,"Negative Cash",IF(P19&lt;Assumptions!$C$9,"Below Minimum","Healthy"))</f>
        <v>Negative Cash</v>
      </c>
      <c r="Q22" s="2" t="str">
        <f>IF(Q19&lt;0,"Negative Cash",IF(Q19&lt;Assumptions!$C$9,"Below Minimum","Healthy"))</f>
        <v>Negative Cash</v>
      </c>
      <c r="R22" s="2" t="str">
        <f>IF(R19&lt;0,"Negative Cash",IF(R19&lt;Assumptions!$C$9,"Below Minimum","Healthy"))</f>
        <v>Negative Cash</v>
      </c>
      <c r="S22" s="2" t="str">
        <f>IF(S19&lt;0,"Negative Cash",IF(S19&lt;Assumptions!$C$9,"Below Minimum","Healthy"))</f>
        <v>Negative Cash</v>
      </c>
      <c r="T22" s="2" t="str">
        <f>IF(T19&lt;0,"Negative Cash",IF(T19&lt;Assumptions!$C$9,"Below Minimum","Healthy"))</f>
        <v>Negative Cash</v>
      </c>
      <c r="U22" s="2" t="str">
        <f>IF(U19&lt;0,"Negative Cash",IF(U19&lt;Assumptions!$C$9,"Below Minimum","Healthy"))</f>
        <v>Negative Cash</v>
      </c>
      <c r="V22" s="2" t="str">
        <f>IF(V19&lt;0,"Negative Cash",IF(V19&lt;Assumptions!$C$9,"Below Minimum","Healthy"))</f>
        <v>Negative Cash</v>
      </c>
      <c r="W22" s="2" t="str">
        <f>IF(W19&lt;0,"Negative Cash",IF(W19&lt;Assumptions!$C$9,"Below Minimum","Healthy"))</f>
        <v>Negative Cash</v>
      </c>
      <c r="X22" s="2" t="str">
        <f>IF(X19&lt;0,"Negative Cash",IF(X19&lt;Assumptions!$C$9,"Below Minimum","Healthy"))</f>
        <v>Negative Cash</v>
      </c>
      <c r="Y22" s="2" t="str">
        <f>IF(Y19&lt;0,"Negative Cash",IF(Y19&lt;Assumptions!$C$9,"Below Minimum","Healthy"))</f>
        <v>Negative Cash</v>
      </c>
      <c r="Z22" s="2"/>
      <c r="AA22" s="2"/>
    </row>
    <row r="23" spans="1:27">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spans="1:27">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spans="1:27">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spans="1:27">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spans="1: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spans="1:27">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spans="1:27">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spans="1:27">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spans="1:27">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spans="1:27">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spans="1:27">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spans="1:27">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spans="1:27">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c r="A80" s="2"/>
      <c r="B80" s="2"/>
      <c r="C80" s="2"/>
      <c r="D80" s="2"/>
      <c r="E80" s="2"/>
      <c r="F80" s="2"/>
      <c r="G80" s="2"/>
      <c r="H80" s="2"/>
      <c r="I80" s="2"/>
      <c r="J80" s="2"/>
      <c r="K80" s="2"/>
      <c r="L80" s="2"/>
      <c r="M80" s="2"/>
      <c r="N80" s="2"/>
      <c r="O80" s="2"/>
      <c r="P80" s="2"/>
      <c r="Q80" s="2"/>
      <c r="R80" s="2"/>
      <c r="S80" s="2"/>
      <c r="T80" s="2"/>
      <c r="U80" s="2"/>
      <c r="V80" s="2"/>
      <c r="W80" s="2"/>
      <c r="X80" s="2"/>
      <c r="Y80" s="2"/>
      <c r="Z80" s="2"/>
      <c r="AA80" s="2"/>
    </row>
  </sheetData>
  <mergeCells count="2">
    <mergeCell ref="A2:Y2"/>
    <mergeCell ref="A1:Y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A80"/>
  <sheetViews>
    <sheetView showGridLines="0" workbookViewId="0">
      <selection activeCell="B15" sqref="B15:L15"/>
    </sheetView>
  </sheetViews>
  <sheetFormatPr defaultRowHeight="13.8"/>
  <cols>
    <col min="1" max="1" width="15" customWidth="1"/>
    <col min="2" max="2" width="26" customWidth="1"/>
    <col min="3" max="3" width="5.796875" customWidth="1"/>
    <col min="4" max="4" width="7.69921875" customWidth="1"/>
    <col min="5" max="5" width="26" customWidth="1"/>
    <col min="6" max="6" width="11.8984375" bestFit="1" customWidth="1"/>
    <col min="7" max="7" width="3" customWidth="1"/>
    <col min="8" max="8" width="10" customWidth="1"/>
    <col min="9" max="9" width="15" customWidth="1"/>
    <col min="10" max="10" width="26" customWidth="1"/>
    <col min="11" max="12" width="15" customWidth="1"/>
  </cols>
  <sheetData>
    <row r="1" spans="1:27" ht="20.399999999999999">
      <c r="A1" s="57" t="s">
        <v>256</v>
      </c>
      <c r="B1" s="58"/>
      <c r="C1" s="58"/>
      <c r="D1" s="58"/>
      <c r="E1" s="58"/>
      <c r="F1" s="58"/>
      <c r="G1" s="58"/>
      <c r="H1" s="58"/>
      <c r="I1" s="58"/>
      <c r="J1" s="58"/>
      <c r="K1" s="58"/>
      <c r="L1" s="58"/>
      <c r="M1" s="2"/>
      <c r="N1" s="2"/>
      <c r="O1" s="2"/>
      <c r="P1" s="2"/>
      <c r="Q1" s="2"/>
      <c r="R1" s="2"/>
      <c r="S1" s="2"/>
      <c r="T1" s="2"/>
      <c r="U1" s="2"/>
      <c r="V1" s="2"/>
      <c r="W1" s="2"/>
      <c r="X1" s="2"/>
      <c r="Y1" s="2"/>
      <c r="Z1" s="2"/>
      <c r="AA1" s="2"/>
    </row>
    <row r="2" spans="1:27">
      <c r="A2" s="65" t="s">
        <v>257</v>
      </c>
      <c r="B2" s="56"/>
      <c r="C2" s="56"/>
      <c r="D2" s="56"/>
      <c r="E2" s="56"/>
      <c r="F2" s="56"/>
      <c r="G2" s="56"/>
      <c r="H2" s="56"/>
      <c r="I2" s="56"/>
      <c r="J2" s="56"/>
      <c r="K2" s="56"/>
      <c r="L2" s="56"/>
      <c r="M2" s="2"/>
      <c r="N2" s="2"/>
      <c r="O2" s="2"/>
      <c r="P2" s="2"/>
      <c r="Q2" s="2"/>
      <c r="R2" s="2"/>
      <c r="S2" s="2"/>
      <c r="T2" s="2"/>
      <c r="U2" s="2"/>
      <c r="V2" s="2"/>
      <c r="W2" s="2"/>
      <c r="X2" s="2"/>
      <c r="Y2" s="2"/>
      <c r="Z2" s="2"/>
      <c r="AA2" s="2"/>
    </row>
    <row r="3" spans="1:27">
      <c r="A3" s="2"/>
      <c r="B3" s="2"/>
      <c r="C3" s="2"/>
      <c r="D3" s="2"/>
      <c r="E3" s="2"/>
      <c r="F3" s="2"/>
      <c r="G3" s="2"/>
      <c r="H3" s="2"/>
      <c r="I3" s="2"/>
      <c r="J3" s="2"/>
      <c r="K3" s="2"/>
      <c r="L3" s="2"/>
      <c r="M3" s="2"/>
      <c r="N3" s="2"/>
      <c r="O3" s="2"/>
      <c r="P3" s="2"/>
      <c r="Q3" s="2"/>
      <c r="R3" s="2"/>
      <c r="S3" s="2"/>
      <c r="T3" s="2"/>
      <c r="U3" s="2"/>
      <c r="V3" s="2"/>
      <c r="W3" s="2"/>
      <c r="X3" s="2"/>
      <c r="Y3" s="2"/>
      <c r="Z3" s="2"/>
      <c r="AA3" s="2"/>
    </row>
    <row r="4" spans="1:27">
      <c r="A4" s="60" t="s">
        <v>258</v>
      </c>
      <c r="B4" s="56"/>
      <c r="C4" s="56"/>
      <c r="D4" s="60" t="s">
        <v>157</v>
      </c>
      <c r="E4" s="56"/>
      <c r="F4" s="56"/>
      <c r="G4" s="60" t="s">
        <v>150</v>
      </c>
      <c r="H4" s="56"/>
      <c r="I4" s="56"/>
      <c r="J4" s="60" t="s">
        <v>252</v>
      </c>
      <c r="K4" s="56"/>
      <c r="L4" s="56"/>
      <c r="M4" s="2"/>
      <c r="N4" s="2"/>
      <c r="O4" s="2"/>
      <c r="P4" s="2"/>
      <c r="Q4" s="2"/>
      <c r="R4" s="2"/>
      <c r="S4" s="2"/>
      <c r="T4" s="2"/>
      <c r="U4" s="2"/>
      <c r="V4" s="2"/>
      <c r="W4" s="2"/>
      <c r="X4" s="2"/>
      <c r="Y4" s="2"/>
      <c r="Z4" s="2"/>
      <c r="AA4" s="2"/>
    </row>
    <row r="5" spans="1:27" ht="15">
      <c r="A5" s="62">
        <f>'Revenue Model'!Y18</f>
        <v>1884708.4146763207</v>
      </c>
      <c r="B5" s="63"/>
      <c r="C5" s="63"/>
      <c r="D5" s="62">
        <f>'Revenue Model'!Y17</f>
        <v>157059.03455636007</v>
      </c>
      <c r="E5" s="63"/>
      <c r="F5" s="63"/>
      <c r="G5" s="66">
        <f>'Revenue Model'!Y9</f>
        <v>298.43913327578395</v>
      </c>
      <c r="H5" s="63"/>
      <c r="I5" s="63"/>
      <c r="J5" s="62">
        <f>'Cash Runway'!Y19</f>
        <v>-155700.27504621705</v>
      </c>
      <c r="K5" s="63"/>
      <c r="L5" s="63"/>
      <c r="M5" s="2"/>
      <c r="N5" s="2"/>
      <c r="O5" s="2"/>
      <c r="P5" s="2"/>
      <c r="Q5" s="2"/>
      <c r="R5" s="2"/>
      <c r="S5" s="2"/>
      <c r="T5" s="2"/>
      <c r="U5" s="2"/>
      <c r="V5" s="2"/>
      <c r="W5" s="2"/>
      <c r="X5" s="2"/>
      <c r="Y5" s="2"/>
      <c r="Z5" s="2"/>
      <c r="AA5" s="2"/>
    </row>
    <row r="6" spans="1:27">
      <c r="A6" s="64" t="s">
        <v>259</v>
      </c>
      <c r="B6" s="56"/>
      <c r="C6" s="56"/>
      <c r="D6" s="64" t="s">
        <v>260</v>
      </c>
      <c r="E6" s="56"/>
      <c r="F6" s="56"/>
      <c r="G6" s="64" t="s">
        <v>261</v>
      </c>
      <c r="H6" s="56"/>
      <c r="I6" s="56"/>
      <c r="J6" s="64" t="s">
        <v>262</v>
      </c>
      <c r="K6" s="56"/>
      <c r="L6" s="56"/>
      <c r="M6" s="2"/>
      <c r="N6" s="2"/>
      <c r="O6" s="2"/>
      <c r="P6" s="2"/>
      <c r="Q6" s="2"/>
      <c r="R6" s="2"/>
      <c r="S6" s="2"/>
      <c r="T6" s="2"/>
      <c r="U6" s="2"/>
      <c r="V6" s="2"/>
      <c r="W6" s="2"/>
      <c r="X6" s="2"/>
      <c r="Y6" s="2"/>
      <c r="Z6" s="2"/>
      <c r="AA6" s="2"/>
    </row>
    <row r="7" spans="1:27">
      <c r="A7" s="61"/>
      <c r="B7" s="56"/>
      <c r="C7" s="56"/>
      <c r="D7" s="61"/>
      <c r="E7" s="56"/>
      <c r="F7" s="56"/>
      <c r="G7" s="61"/>
      <c r="H7" s="56"/>
      <c r="I7" s="56"/>
      <c r="J7" s="61"/>
      <c r="K7" s="56"/>
      <c r="L7" s="56"/>
      <c r="M7" s="2"/>
      <c r="N7" s="2"/>
      <c r="O7" s="2"/>
      <c r="P7" s="2"/>
      <c r="Q7" s="2"/>
      <c r="R7" s="2"/>
      <c r="S7" s="2"/>
      <c r="T7" s="2"/>
      <c r="U7" s="2"/>
      <c r="V7" s="2"/>
      <c r="W7" s="2"/>
      <c r="X7" s="2"/>
      <c r="Y7" s="2"/>
      <c r="Z7" s="2"/>
      <c r="AA7" s="2"/>
    </row>
    <row r="8" spans="1:27">
      <c r="A8" s="2"/>
      <c r="B8" s="2"/>
      <c r="C8" s="2"/>
      <c r="D8" s="2"/>
      <c r="E8" s="2"/>
      <c r="F8" s="2"/>
      <c r="G8" s="2"/>
      <c r="H8" s="2"/>
      <c r="I8" s="2"/>
      <c r="J8" s="2"/>
      <c r="K8" s="2"/>
      <c r="L8" s="2"/>
      <c r="M8" s="2"/>
      <c r="N8" s="2"/>
      <c r="O8" s="2"/>
      <c r="P8" s="2"/>
      <c r="Q8" s="2"/>
      <c r="R8" s="2"/>
      <c r="S8" s="2"/>
      <c r="T8" s="2"/>
      <c r="U8" s="2"/>
      <c r="V8" s="2"/>
      <c r="W8" s="2"/>
      <c r="X8" s="2"/>
      <c r="Y8" s="2"/>
      <c r="Z8" s="2"/>
      <c r="AA8" s="2"/>
    </row>
    <row r="9" spans="1:27">
      <c r="A9" s="60" t="s">
        <v>263</v>
      </c>
      <c r="B9" s="56"/>
      <c r="C9" s="56"/>
      <c r="D9" s="60" t="s">
        <v>264</v>
      </c>
      <c r="E9" s="56"/>
      <c r="F9" s="56"/>
      <c r="G9" s="60" t="s">
        <v>265</v>
      </c>
      <c r="H9" s="56"/>
      <c r="I9" s="56"/>
      <c r="J9" s="60" t="s">
        <v>266</v>
      </c>
      <c r="K9" s="56"/>
      <c r="L9" s="56"/>
      <c r="M9" s="2"/>
      <c r="N9" s="2"/>
      <c r="O9" s="2"/>
      <c r="P9" s="2"/>
      <c r="Q9" s="2"/>
      <c r="R9" s="2"/>
      <c r="S9" s="2"/>
      <c r="T9" s="2"/>
      <c r="U9" s="2"/>
      <c r="V9" s="2"/>
      <c r="W9" s="2"/>
      <c r="X9" s="2"/>
      <c r="Y9" s="2"/>
      <c r="Z9" s="2"/>
      <c r="AA9" s="2"/>
    </row>
    <row r="10" spans="1:27" ht="15">
      <c r="A10" s="67">
        <f>'P&amp;L'!Y13</f>
        <v>0.78</v>
      </c>
      <c r="B10" s="63"/>
      <c r="C10" s="63"/>
      <c r="D10" s="67">
        <f>'P&amp;L'!Y23</f>
        <v>7.9669746638833805E-2</v>
      </c>
      <c r="E10" s="63"/>
      <c r="F10" s="63"/>
      <c r="G10" s="71">
        <f>IFERROR((Assumptions!$C$14*'P&amp;L'!Y13/Assumptions!$C$18)/(Assumptions!$C$35),0)</f>
        <v>10.833333333333334</v>
      </c>
      <c r="H10" s="63"/>
      <c r="I10" s="63"/>
      <c r="J10" s="62">
        <f>MAX('Cash Runway'!B21:Y21)</f>
        <v>252491.52265116284</v>
      </c>
      <c r="K10" s="63"/>
      <c r="L10" s="63"/>
      <c r="M10" s="2"/>
      <c r="N10" s="2"/>
      <c r="O10" s="2"/>
      <c r="P10" s="2"/>
      <c r="Q10" s="2"/>
      <c r="R10" s="2"/>
      <c r="S10" s="2"/>
      <c r="T10" s="2"/>
      <c r="U10" s="2"/>
      <c r="V10" s="2"/>
      <c r="W10" s="2"/>
      <c r="X10" s="2"/>
      <c r="Y10" s="2"/>
      <c r="Z10" s="2"/>
      <c r="AA10" s="2"/>
    </row>
    <row r="11" spans="1:27">
      <c r="A11" s="64" t="s">
        <v>267</v>
      </c>
      <c r="B11" s="56"/>
      <c r="C11" s="56"/>
      <c r="D11" s="64" t="s">
        <v>268</v>
      </c>
      <c r="E11" s="56"/>
      <c r="F11" s="56"/>
      <c r="G11" s="64" t="s">
        <v>269</v>
      </c>
      <c r="H11" s="56"/>
      <c r="I11" s="56"/>
      <c r="J11" s="64" t="s">
        <v>270</v>
      </c>
      <c r="K11" s="56"/>
      <c r="L11" s="56"/>
      <c r="M11" s="2"/>
      <c r="N11" s="2"/>
      <c r="O11" s="2"/>
      <c r="P11" s="2"/>
      <c r="Q11" s="2"/>
      <c r="R11" s="2"/>
      <c r="S11" s="2"/>
      <c r="T11" s="2"/>
      <c r="U11" s="2"/>
      <c r="V11" s="2"/>
      <c r="W11" s="2"/>
      <c r="X11" s="2"/>
      <c r="Y11" s="2"/>
      <c r="Z11" s="2"/>
      <c r="AA11" s="2"/>
    </row>
    <row r="12" spans="1:27">
      <c r="A12" s="61"/>
      <c r="B12" s="56"/>
      <c r="C12" s="56"/>
      <c r="D12" s="61"/>
      <c r="E12" s="56"/>
      <c r="F12" s="56"/>
      <c r="G12" s="61"/>
      <c r="H12" s="56"/>
      <c r="I12" s="56"/>
      <c r="J12" s="61"/>
      <c r="K12" s="56"/>
      <c r="L12" s="56"/>
      <c r="M12" s="2"/>
      <c r="N12" s="2"/>
      <c r="O12" s="2"/>
      <c r="P12" s="2"/>
      <c r="Q12" s="2"/>
      <c r="R12" s="2"/>
      <c r="S12" s="2"/>
      <c r="T12" s="2"/>
      <c r="U12" s="2"/>
      <c r="V12" s="2"/>
      <c r="W12" s="2"/>
      <c r="X12" s="2"/>
      <c r="Y12" s="2"/>
      <c r="Z12" s="2"/>
      <c r="AA12" s="2"/>
    </row>
    <row r="13" spans="1:27">
      <c r="A13" s="2"/>
      <c r="B13" s="2"/>
      <c r="C13" s="2"/>
      <c r="D13" s="2"/>
      <c r="E13" s="2"/>
      <c r="F13" s="2"/>
      <c r="G13" s="2"/>
      <c r="H13" s="2"/>
      <c r="I13" s="2"/>
      <c r="J13" s="2"/>
      <c r="K13" s="2"/>
      <c r="L13" s="2"/>
      <c r="M13" s="2"/>
      <c r="N13" s="2"/>
      <c r="O13" s="2"/>
      <c r="P13" s="2"/>
      <c r="Q13" s="2"/>
      <c r="R13" s="2"/>
      <c r="S13" s="2"/>
      <c r="T13" s="2"/>
      <c r="U13" s="2"/>
      <c r="V13" s="2"/>
      <c r="W13" s="2"/>
      <c r="X13" s="2"/>
      <c r="Y13" s="2"/>
      <c r="Z13" s="2"/>
      <c r="AA13" s="2"/>
    </row>
    <row r="14" spans="1:27">
      <c r="A14" s="70" t="s">
        <v>271</v>
      </c>
      <c r="B14" s="69"/>
      <c r="C14" s="69"/>
      <c r="D14" s="69"/>
      <c r="E14" s="69"/>
      <c r="F14" s="69"/>
      <c r="G14" s="69"/>
      <c r="H14" s="69"/>
      <c r="I14" s="69"/>
      <c r="J14" s="69"/>
      <c r="K14" s="56"/>
      <c r="L14" s="56"/>
      <c r="M14" s="2"/>
      <c r="N14" s="2"/>
      <c r="O14" s="2"/>
      <c r="P14" s="2"/>
      <c r="Q14" s="2"/>
      <c r="R14" s="2"/>
      <c r="S14" s="2"/>
      <c r="T14" s="2"/>
      <c r="U14" s="2"/>
      <c r="V14" s="2"/>
      <c r="W14" s="2"/>
      <c r="X14" s="2"/>
      <c r="Y14" s="2"/>
      <c r="Z14" s="2"/>
      <c r="AA14" s="2"/>
    </row>
    <row r="15" spans="1:27">
      <c r="A15" s="3" t="s">
        <v>272</v>
      </c>
      <c r="B15" s="68" t="str">
        <f>"ARR grows from "&amp;TEXT('Revenue Model'!B18,"$#,##0")&amp;" to "&amp;TEXT('Revenue Model'!Y18,"$#,##0")&amp;" over 24 months."</f>
        <v>ARR grows from $340,695 to $1,884,708 over 24 months.</v>
      </c>
      <c r="C15" s="69"/>
      <c r="D15" s="69"/>
      <c r="E15" s="69"/>
      <c r="F15" s="69"/>
      <c r="G15" s="69"/>
      <c r="H15" s="69"/>
      <c r="I15" s="69"/>
      <c r="J15" s="69"/>
      <c r="K15" s="56"/>
      <c r="L15" s="56"/>
      <c r="M15" s="2"/>
      <c r="N15" s="2"/>
      <c r="O15" s="2"/>
      <c r="P15" s="2"/>
      <c r="Q15" s="2"/>
      <c r="R15" s="2"/>
      <c r="S15" s="2"/>
      <c r="T15" s="2"/>
      <c r="U15" s="2"/>
      <c r="V15" s="2"/>
      <c r="W15" s="2"/>
      <c r="X15" s="2"/>
      <c r="Y15" s="2"/>
      <c r="Z15" s="2"/>
      <c r="AA15" s="2"/>
    </row>
    <row r="16" spans="1:27">
      <c r="A16" s="3" t="s">
        <v>273</v>
      </c>
      <c r="B16" s="68" t="str">
        <f>"Gross margin ends at "&amp;TEXT('P&amp;L'!Y13,"0.0%")&amp;", compared with the target of "&amp;TEXT(Assumptions!$C$23,"0.0%")&amp;"."</f>
        <v>Gross margin ends at 78.0%, compared with the target of 78.0%.</v>
      </c>
      <c r="C16" s="69"/>
      <c r="D16" s="69"/>
      <c r="E16" s="69"/>
      <c r="F16" s="69"/>
      <c r="G16" s="69"/>
      <c r="H16" s="69"/>
      <c r="I16" s="69"/>
      <c r="J16" s="69"/>
      <c r="K16" s="56"/>
      <c r="L16" s="56"/>
      <c r="M16" s="2"/>
      <c r="N16" s="2"/>
      <c r="O16" s="2"/>
      <c r="P16" s="2"/>
      <c r="Q16" s="2"/>
      <c r="R16" s="2"/>
      <c r="S16" s="2"/>
      <c r="T16" s="2"/>
      <c r="U16" s="2"/>
      <c r="V16" s="2"/>
      <c r="W16" s="2"/>
      <c r="X16" s="2"/>
      <c r="Y16" s="2"/>
      <c r="Z16" s="2"/>
      <c r="AA16" s="2"/>
    </row>
    <row r="17" spans="1:27">
      <c r="A17" s="3" t="s">
        <v>274</v>
      </c>
      <c r="B17" s="68" t="str">
        <f>"Ending cash is "&amp;TEXT('Cash Runway'!Y19,"$#,##0;($#,##0)")&amp;". Maximum funding need is "&amp;TEXT(MAX('Cash Runway'!B21:Y21),"$#,##0")&amp;"."</f>
        <v>Ending cash is ($155,700). Maximum funding need is $252,492.</v>
      </c>
      <c r="C17" s="69"/>
      <c r="D17" s="69"/>
      <c r="E17" s="69"/>
      <c r="F17" s="69"/>
      <c r="G17" s="69"/>
      <c r="H17" s="69"/>
      <c r="I17" s="69"/>
      <c r="J17" s="69"/>
      <c r="K17" s="56"/>
      <c r="L17" s="56"/>
      <c r="M17" s="2"/>
      <c r="N17" s="2"/>
      <c r="O17" s="2"/>
      <c r="P17" s="2"/>
      <c r="Q17" s="2"/>
      <c r="R17" s="2"/>
      <c r="S17" s="2"/>
      <c r="T17" s="2"/>
      <c r="U17" s="2"/>
      <c r="V17" s="2"/>
      <c r="W17" s="2"/>
      <c r="X17" s="2"/>
      <c r="Y17" s="2"/>
      <c r="Z17" s="2"/>
      <c r="AA17" s="2"/>
    </row>
    <row r="18" spans="1:27">
      <c r="A18" s="3" t="s">
        <v>275</v>
      </c>
      <c r="B18" s="68" t="s">
        <v>276</v>
      </c>
      <c r="C18" s="69"/>
      <c r="D18" s="69"/>
      <c r="E18" s="69"/>
      <c r="F18" s="69"/>
      <c r="G18" s="69"/>
      <c r="H18" s="69"/>
      <c r="I18" s="69"/>
      <c r="J18" s="69"/>
      <c r="K18" s="56"/>
      <c r="L18" s="56"/>
      <c r="M18" s="2"/>
      <c r="N18" s="2"/>
      <c r="O18" s="2"/>
      <c r="P18" s="2"/>
      <c r="Q18" s="2"/>
      <c r="R18" s="2"/>
      <c r="S18" s="2"/>
      <c r="T18" s="2"/>
      <c r="U18" s="2"/>
      <c r="V18" s="2"/>
      <c r="W18" s="2"/>
      <c r="X18" s="2"/>
      <c r="Y18" s="2"/>
      <c r="Z18" s="2"/>
      <c r="AA18" s="2"/>
    </row>
    <row r="19" spans="1:27">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spans="1:27">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spans="1:27" ht="27.6">
      <c r="A21" s="1" t="s">
        <v>277</v>
      </c>
      <c r="B21" s="1" t="s">
        <v>278</v>
      </c>
      <c r="C21" s="1" t="s">
        <v>158</v>
      </c>
      <c r="D21" s="1" t="s">
        <v>233</v>
      </c>
      <c r="E21" s="1" t="s">
        <v>279</v>
      </c>
      <c r="F21" s="1" t="s">
        <v>252</v>
      </c>
      <c r="G21" s="2"/>
      <c r="H21" s="2"/>
      <c r="I21" s="2"/>
      <c r="J21" s="2"/>
      <c r="K21" s="2"/>
      <c r="L21" s="2"/>
      <c r="M21" s="2"/>
      <c r="N21" s="2"/>
      <c r="O21" s="2"/>
      <c r="P21" s="2"/>
      <c r="Q21" s="2"/>
      <c r="R21" s="2"/>
      <c r="S21" s="2"/>
      <c r="T21" s="2"/>
      <c r="U21" s="2"/>
      <c r="V21" s="2"/>
      <c r="W21" s="2"/>
      <c r="X21" s="2"/>
      <c r="Y21" s="2"/>
      <c r="Z21" s="2"/>
      <c r="AA21" s="2"/>
    </row>
    <row r="22" spans="1:27">
      <c r="A22" s="21" t="str">
        <f>'Revenue Model'!B$4</f>
        <v>May-26</v>
      </c>
      <c r="B22" s="16">
        <f>'Revenue Model'!B$17</f>
        <v>28391.25</v>
      </c>
      <c r="C22" s="16">
        <f>'Revenue Model'!B$18</f>
        <v>340695</v>
      </c>
      <c r="D22" s="16">
        <f>'P&amp;L'!B$8</f>
        <v>26695.625</v>
      </c>
      <c r="E22" s="16">
        <f>COGS!B$11+Opex!B$22</f>
        <v>57498.037499999999</v>
      </c>
      <c r="F22" s="16">
        <f>'Cash Runway'!B$19</f>
        <v>369197.58750000002</v>
      </c>
      <c r="G22" s="2"/>
      <c r="H22" s="2"/>
      <c r="I22" s="2"/>
      <c r="J22" s="2"/>
      <c r="K22" s="2"/>
      <c r="L22" s="2"/>
      <c r="M22" s="2"/>
      <c r="N22" s="2"/>
      <c r="O22" s="2"/>
      <c r="P22" s="2"/>
      <c r="Q22" s="2"/>
      <c r="R22" s="2"/>
      <c r="S22" s="2"/>
      <c r="T22" s="2"/>
      <c r="U22" s="2"/>
      <c r="V22" s="2"/>
      <c r="W22" s="2"/>
      <c r="X22" s="2"/>
      <c r="Y22" s="2"/>
      <c r="Z22" s="2"/>
      <c r="AA22" s="2"/>
    </row>
    <row r="23" spans="1:27">
      <c r="A23" s="21" t="str">
        <f>'Revenue Model'!C$4</f>
        <v>Jun-26</v>
      </c>
      <c r="B23" s="16">
        <f>'Revenue Model'!C$17</f>
        <v>31898.210062500002</v>
      </c>
      <c r="C23" s="16">
        <f>'Revenue Model'!C$18</f>
        <v>382778.52075000003</v>
      </c>
      <c r="D23" s="16">
        <f>'P&amp;L'!C$8</f>
        <v>30144.730031250001</v>
      </c>
      <c r="E23" s="16">
        <f>COGS!C$11+Opex!C$22</f>
        <v>58886.840606874997</v>
      </c>
      <c r="F23" s="16">
        <f>'Cash Runway'!C$19</f>
        <v>340455.47692437499</v>
      </c>
      <c r="G23" s="2"/>
      <c r="H23" s="2"/>
      <c r="I23" s="2"/>
      <c r="J23" s="2"/>
      <c r="K23" s="2"/>
      <c r="L23" s="2"/>
      <c r="M23" s="2"/>
      <c r="N23" s="2"/>
      <c r="O23" s="2"/>
      <c r="P23" s="2"/>
      <c r="Q23" s="2"/>
      <c r="R23" s="2"/>
      <c r="S23" s="2"/>
      <c r="T23" s="2"/>
      <c r="U23" s="2"/>
      <c r="V23" s="2"/>
      <c r="W23" s="2"/>
      <c r="X23" s="2"/>
      <c r="Y23" s="2"/>
      <c r="Z23" s="2"/>
      <c r="AA23" s="2"/>
    </row>
    <row r="24" spans="1:27">
      <c r="A24" s="21" t="str">
        <f>'Revenue Model'!D$4</f>
        <v>Jul-26</v>
      </c>
      <c r="B24" s="16">
        <f>'Revenue Model'!D$17</f>
        <v>35528.020079428126</v>
      </c>
      <c r="C24" s="16">
        <f>'Revenue Model'!D$18</f>
        <v>426336.24095313752</v>
      </c>
      <c r="D24" s="16">
        <f>'P&amp;L'!D$8</f>
        <v>33713.115070964064</v>
      </c>
      <c r="E24" s="16">
        <f>COGS!D$11+Opex!D$22</f>
        <v>60327.385315612089</v>
      </c>
      <c r="F24" s="16">
        <f>'Cash Runway'!D$19</f>
        <v>313841.20667972695</v>
      </c>
      <c r="G24" s="2"/>
      <c r="H24" s="2"/>
      <c r="I24" s="2"/>
      <c r="J24" s="2"/>
      <c r="K24" s="2"/>
      <c r="L24" s="2"/>
      <c r="M24" s="2"/>
      <c r="N24" s="2"/>
      <c r="O24" s="2"/>
      <c r="P24" s="2"/>
      <c r="Q24" s="2"/>
      <c r="R24" s="2"/>
      <c r="S24" s="2"/>
      <c r="T24" s="2"/>
      <c r="U24" s="2"/>
      <c r="V24" s="2"/>
      <c r="W24" s="2"/>
      <c r="X24" s="2"/>
      <c r="Y24" s="2"/>
      <c r="Z24" s="2"/>
      <c r="AA24" s="2"/>
    </row>
    <row r="25" spans="1:27">
      <c r="A25" s="21" t="str">
        <f>'Revenue Model'!E$4</f>
        <v>Aug-26</v>
      </c>
      <c r="B25" s="16">
        <f>'Revenue Model'!E$17</f>
        <v>39288.142874430509</v>
      </c>
      <c r="C25" s="16">
        <f>'Revenue Model'!E$18</f>
        <v>471457.71449316607</v>
      </c>
      <c r="D25" s="16">
        <f>'P&amp;L'!E$8</f>
        <v>37408.081476929321</v>
      </c>
      <c r="E25" s="16">
        <f>COGS!E$11+Opex!E$22</f>
        <v>68147.492924924445</v>
      </c>
      <c r="F25" s="16">
        <f>'Cash Runway'!E$19</f>
        <v>283101.79523173184</v>
      </c>
      <c r="G25" s="2"/>
      <c r="H25" s="2"/>
      <c r="I25" s="2"/>
      <c r="J25" s="2"/>
      <c r="K25" s="2"/>
      <c r="L25" s="2"/>
      <c r="M25" s="2"/>
      <c r="N25" s="2"/>
      <c r="O25" s="2"/>
      <c r="P25" s="2"/>
      <c r="Q25" s="2"/>
      <c r="R25" s="2"/>
      <c r="S25" s="2"/>
      <c r="T25" s="2"/>
      <c r="U25" s="2"/>
      <c r="V25" s="2"/>
      <c r="W25" s="2"/>
      <c r="X25" s="2"/>
      <c r="Y25" s="2"/>
      <c r="Z25" s="2"/>
      <c r="AA25" s="2"/>
    </row>
    <row r="26" spans="1:27">
      <c r="A26" s="21" t="str">
        <f>'Revenue Model'!F$4</f>
        <v>Sep-26</v>
      </c>
      <c r="B26" s="16">
        <f>'Revenue Model'!F$17</f>
        <v>43186.381206138583</v>
      </c>
      <c r="C26" s="16">
        <f>'Revenue Model'!F$18</f>
        <v>518236.574473663</v>
      </c>
      <c r="D26" s="16">
        <f>'P&amp;L'!F$8</f>
        <v>41237.26204028455</v>
      </c>
      <c r="E26" s="16">
        <f>COGS!F$11+Opex!F$22</f>
        <v>69700.1177988626</v>
      </c>
      <c r="F26" s="16">
        <f>'Cash Runway'!F$19</f>
        <v>254638.93947315382</v>
      </c>
      <c r="G26" s="2"/>
      <c r="H26" s="2"/>
      <c r="I26" s="2"/>
      <c r="J26" s="2"/>
      <c r="K26" s="2"/>
      <c r="L26" s="2"/>
      <c r="M26" s="2"/>
      <c r="N26" s="2"/>
      <c r="O26" s="2"/>
      <c r="P26" s="2"/>
      <c r="Q26" s="2"/>
      <c r="R26" s="2"/>
      <c r="S26" s="2"/>
      <c r="T26" s="2"/>
      <c r="U26" s="2"/>
      <c r="V26" s="2"/>
      <c r="W26" s="2"/>
      <c r="X26" s="2"/>
      <c r="Y26" s="2"/>
      <c r="Z26" s="2"/>
      <c r="AA26" s="2"/>
    </row>
    <row r="27" spans="1:27">
      <c r="A27" s="21" t="str">
        <f>'Revenue Model'!G$4</f>
        <v>Oct-26</v>
      </c>
      <c r="B27" s="16">
        <f>'Revenue Model'!G$17</f>
        <v>47230.895600054202</v>
      </c>
      <c r="C27" s="16">
        <f>'Revenue Model'!G$18</f>
        <v>566770.7472006504</v>
      </c>
      <c r="D27" s="16">
        <f>'P&amp;L'!G$8</f>
        <v>45208.638403096396</v>
      </c>
      <c r="E27" s="16">
        <f>COGS!G$11+Opex!G$22</f>
        <v>81663.354200181202</v>
      </c>
      <c r="F27" s="16">
        <f>'Cash Runway'!G$19</f>
        <v>218184.223676069</v>
      </c>
      <c r="G27" s="2"/>
      <c r="H27" s="2"/>
      <c r="I27" s="2"/>
      <c r="J27" s="2"/>
      <c r="K27" s="2"/>
      <c r="L27" s="2"/>
      <c r="M27" s="2"/>
      <c r="N27" s="2"/>
      <c r="O27" s="2"/>
      <c r="P27" s="2"/>
      <c r="Q27" s="2"/>
      <c r="R27" s="2"/>
      <c r="S27" s="2"/>
      <c r="T27" s="2"/>
      <c r="U27" s="2"/>
      <c r="V27" s="2"/>
      <c r="W27" s="2"/>
      <c r="X27" s="2"/>
      <c r="Y27" s="2"/>
      <c r="Z27" s="2"/>
      <c r="AA27" s="2"/>
    </row>
    <row r="28" spans="1:27">
      <c r="A28" s="21" t="str">
        <f>'Revenue Model'!H$4</f>
        <v>Nov-26</v>
      </c>
      <c r="B28" s="16">
        <f>'Revenue Model'!H$17</f>
        <v>51430.223051025343</v>
      </c>
      <c r="C28" s="16">
        <f>'Revenue Model'!H$18</f>
        <v>617162.67661230406</v>
      </c>
      <c r="D28" s="16">
        <f>'P&amp;L'!H$8</f>
        <v>49330.559325539769</v>
      </c>
      <c r="E28" s="16">
        <f>COGS!H$11+Opex!H$22</f>
        <v>83340.443460633745</v>
      </c>
      <c r="F28" s="16">
        <f>'Cash Runway'!H$19</f>
        <v>184174.33954097505</v>
      </c>
      <c r="G28" s="2"/>
      <c r="H28" s="2"/>
      <c r="I28" s="2"/>
      <c r="J28" s="2"/>
      <c r="K28" s="2"/>
      <c r="L28" s="2"/>
      <c r="M28" s="2"/>
      <c r="N28" s="2"/>
      <c r="O28" s="2"/>
      <c r="P28" s="2"/>
      <c r="Q28" s="2"/>
      <c r="R28" s="2"/>
      <c r="S28" s="2"/>
      <c r="T28" s="2"/>
      <c r="U28" s="2"/>
      <c r="V28" s="2"/>
      <c r="W28" s="2"/>
      <c r="X28" s="2"/>
      <c r="Y28" s="2"/>
      <c r="Z28" s="2"/>
      <c r="AA28" s="2"/>
    </row>
    <row r="29" spans="1:27">
      <c r="A29" s="21" t="str">
        <f>'Revenue Model'!I$4</f>
        <v>Dec-26</v>
      </c>
      <c r="B29" s="16">
        <f>'Revenue Model'!I$17</f>
        <v>55793.296640370179</v>
      </c>
      <c r="C29" s="16">
        <f>'Revenue Model'!I$18</f>
        <v>669519.55968444212</v>
      </c>
      <c r="D29" s="16">
        <f>'P&amp;L'!I$8</f>
        <v>53611.759845697758</v>
      </c>
      <c r="E29" s="16">
        <f>COGS!I$11+Opex!I$22</f>
        <v>93134.781505158651</v>
      </c>
      <c r="F29" s="16">
        <f>'Cash Runway'!I$19</f>
        <v>144651.31788151414</v>
      </c>
      <c r="G29" s="2"/>
      <c r="H29" s="2"/>
      <c r="I29" s="2"/>
      <c r="J29" s="2"/>
      <c r="K29" s="2"/>
      <c r="L29" s="2"/>
      <c r="M29" s="2"/>
      <c r="N29" s="2"/>
      <c r="O29" s="2"/>
      <c r="P29" s="2"/>
      <c r="Q29" s="2"/>
      <c r="R29" s="2"/>
      <c r="S29" s="2"/>
      <c r="T29" s="2"/>
      <c r="U29" s="2"/>
      <c r="V29" s="2"/>
      <c r="W29" s="2"/>
      <c r="X29" s="2"/>
      <c r="Y29" s="2"/>
      <c r="Z29" s="2"/>
      <c r="AA29" s="2"/>
    </row>
    <row r="30" spans="1:27">
      <c r="A30" s="21" t="str">
        <f>'Revenue Model'!J$4</f>
        <v>Jan-27</v>
      </c>
      <c r="B30" s="16">
        <f>'Revenue Model'!J$17</f>
        <v>60329.466113896902</v>
      </c>
      <c r="C30" s="16">
        <f>'Revenue Model'!J$18</f>
        <v>723953.59336676286</v>
      </c>
      <c r="D30" s="16">
        <f>'P&amp;L'!J$8</f>
        <v>58061.381377133541</v>
      </c>
      <c r="E30" s="16">
        <f>COGS!J$11+Opex!J$22</f>
        <v>94949.926747765581</v>
      </c>
      <c r="F30" s="16">
        <f>'Cash Runway'!J$19</f>
        <v>107762.7725108821</v>
      </c>
      <c r="G30" s="2"/>
      <c r="H30" s="2"/>
      <c r="I30" s="2"/>
      <c r="J30" s="2"/>
      <c r="K30" s="2"/>
      <c r="L30" s="2"/>
      <c r="M30" s="2"/>
      <c r="N30" s="2"/>
      <c r="O30" s="2"/>
      <c r="P30" s="2"/>
      <c r="Q30" s="2"/>
      <c r="R30" s="2"/>
      <c r="S30" s="2"/>
      <c r="T30" s="2"/>
      <c r="U30" s="2"/>
      <c r="V30" s="2"/>
      <c r="W30" s="2"/>
      <c r="X30" s="2"/>
      <c r="Y30" s="2"/>
      <c r="Z30" s="2"/>
      <c r="AA30" s="2"/>
    </row>
    <row r="31" spans="1:27">
      <c r="A31" s="21" t="str">
        <f>'Revenue Model'!K$4</f>
        <v>Feb-27</v>
      </c>
      <c r="B31" s="16">
        <f>'Revenue Model'!K$17</f>
        <v>65048.519469366038</v>
      </c>
      <c r="C31" s="16">
        <f>'Revenue Model'!K$18</f>
        <v>780582.23363239248</v>
      </c>
      <c r="D31" s="16">
        <f>'P&amp;L'!K$8</f>
        <v>62688.99279163147</v>
      </c>
      <c r="E31" s="16">
        <f>COGS!K$11+Opex!K$22</f>
        <v>102014.60837781808</v>
      </c>
      <c r="F31" s="16">
        <f>'Cash Runway'!K$19</f>
        <v>68437.156924695504</v>
      </c>
      <c r="G31" s="2"/>
      <c r="H31" s="2"/>
      <c r="I31" s="2"/>
      <c r="J31" s="2"/>
      <c r="K31" s="2"/>
      <c r="L31" s="2"/>
      <c r="M31" s="2"/>
      <c r="N31" s="2"/>
      <c r="O31" s="2"/>
      <c r="P31" s="2"/>
      <c r="Q31" s="2"/>
      <c r="R31" s="2"/>
      <c r="S31" s="2"/>
      <c r="T31" s="2"/>
      <c r="U31" s="2"/>
      <c r="V31" s="2"/>
      <c r="W31" s="2"/>
      <c r="X31" s="2"/>
      <c r="Y31" s="2"/>
      <c r="Z31" s="2"/>
      <c r="AA31" s="2"/>
    </row>
    <row r="32" spans="1:27">
      <c r="A32" s="21" t="str">
        <f>'Revenue Model'!L$4</f>
        <v>Mar-27</v>
      </c>
      <c r="B32" s="16">
        <f>'Revenue Model'!L$17</f>
        <v>69960.705604356801</v>
      </c>
      <c r="C32" s="16">
        <f>'Revenue Model'!L$18</f>
        <v>839528.46725228161</v>
      </c>
      <c r="D32" s="16">
        <f>'P&amp;L'!L$8</f>
        <v>67504.612536861416</v>
      </c>
      <c r="E32" s="16">
        <f>COGS!L$11+Opex!L$22</f>
        <v>103982.73505634101</v>
      </c>
      <c r="F32" s="16">
        <f>'Cash Runway'!L$19</f>
        <v>31959.034405215905</v>
      </c>
      <c r="G32" s="2"/>
      <c r="H32" s="2"/>
      <c r="I32" s="2"/>
      <c r="J32" s="2"/>
      <c r="K32" s="2"/>
      <c r="L32" s="2"/>
      <c r="M32" s="2"/>
      <c r="N32" s="2"/>
      <c r="O32" s="2"/>
      <c r="P32" s="2"/>
      <c r="Q32" s="2"/>
      <c r="R32" s="2"/>
      <c r="S32" s="2"/>
      <c r="T32" s="2"/>
      <c r="U32" s="2"/>
      <c r="V32" s="2"/>
      <c r="W32" s="2"/>
      <c r="X32" s="2"/>
      <c r="Y32" s="2"/>
      <c r="Z32" s="2"/>
      <c r="AA32" s="2"/>
    </row>
    <row r="33" spans="1:27">
      <c r="A33" s="21" t="str">
        <f>'Revenue Model'!M$4</f>
        <v>Apr-27</v>
      </c>
      <c r="B33" s="16">
        <f>'Revenue Model'!M$17</f>
        <v>75076.758078034822</v>
      </c>
      <c r="C33" s="16">
        <f>'Revenue Model'!M$18</f>
        <v>900921.09693641786</v>
      </c>
      <c r="D33" s="16">
        <f>'P&amp;L'!M$8</f>
        <v>72518.731841195811</v>
      </c>
      <c r="E33" s="16">
        <f>COGS!M$11+Opex!M$22</f>
        <v>121033.40404295945</v>
      </c>
      <c r="F33" s="16">
        <f>'Cash Runway'!M$19</f>
        <v>-16555.63779654773</v>
      </c>
      <c r="G33" s="2"/>
      <c r="H33" s="2"/>
      <c r="I33" s="2"/>
      <c r="J33" s="2"/>
      <c r="K33" s="2"/>
      <c r="L33" s="2"/>
      <c r="M33" s="2"/>
      <c r="N33" s="2"/>
      <c r="O33" s="2"/>
      <c r="P33" s="2"/>
      <c r="Q33" s="2"/>
      <c r="R33" s="2"/>
      <c r="S33" s="2"/>
      <c r="T33" s="2"/>
      <c r="U33" s="2"/>
      <c r="V33" s="2"/>
      <c r="W33" s="2"/>
      <c r="X33" s="2"/>
      <c r="Y33" s="2"/>
      <c r="Z33" s="2"/>
      <c r="AA33" s="2"/>
    </row>
    <row r="34" spans="1:27">
      <c r="A34" s="21" t="str">
        <f>'Revenue Model'!N$4</f>
        <v>May-27</v>
      </c>
      <c r="B34" s="16">
        <f>'Revenue Model'!N$17</f>
        <v>80407.920042981219</v>
      </c>
      <c r="C34" s="16">
        <f>'Revenue Model'!N$18</f>
        <v>964895.04051577463</v>
      </c>
      <c r="D34" s="16">
        <f>'P&amp;L'!N$8</f>
        <v>77742.33906050802</v>
      </c>
      <c r="E34" s="16">
        <f>COGS!N$11+Opex!N$22</f>
        <v>109878.66077510375</v>
      </c>
      <c r="F34" s="16">
        <f>'Cash Runway'!N$19</f>
        <v>-48691.959511143461</v>
      </c>
      <c r="G34" s="2"/>
      <c r="H34" s="2"/>
      <c r="I34" s="2"/>
      <c r="J34" s="2"/>
      <c r="K34" s="2"/>
      <c r="L34" s="2"/>
      <c r="M34" s="2"/>
      <c r="N34" s="2"/>
      <c r="O34" s="2"/>
      <c r="P34" s="2"/>
      <c r="Q34" s="2"/>
      <c r="R34" s="2"/>
      <c r="S34" s="2"/>
      <c r="T34" s="2"/>
      <c r="U34" s="2"/>
      <c r="V34" s="2"/>
      <c r="W34" s="2"/>
      <c r="X34" s="2"/>
      <c r="Y34" s="2"/>
      <c r="Z34" s="2"/>
      <c r="AA34" s="2"/>
    </row>
    <row r="35" spans="1:27">
      <c r="A35" s="21" t="str">
        <f>'Revenue Model'!O$4</f>
        <v>Jun-27</v>
      </c>
      <c r="B35" s="16">
        <f>'Revenue Model'!O$17</f>
        <v>85965.970406039647</v>
      </c>
      <c r="C35" s="16">
        <f>'Revenue Model'!O$18</f>
        <v>1031591.6448724758</v>
      </c>
      <c r="D35" s="16">
        <f>'P&amp;L'!O$8</f>
        <v>83186.945224510433</v>
      </c>
      <c r="E35" s="16">
        <f>COGS!O$11+Opex!O$22</f>
        <v>112107.5089221947</v>
      </c>
      <c r="F35" s="16">
        <f>'Cash Runway'!O$19</f>
        <v>-77612.523208827726</v>
      </c>
      <c r="G35" s="2"/>
      <c r="H35" s="2"/>
      <c r="I35" s="2"/>
      <c r="J35" s="2"/>
      <c r="K35" s="2"/>
      <c r="L35" s="2"/>
      <c r="M35" s="2"/>
      <c r="N35" s="2"/>
      <c r="O35" s="2"/>
      <c r="P35" s="2"/>
      <c r="Q35" s="2"/>
      <c r="R35" s="2"/>
      <c r="S35" s="2"/>
      <c r="T35" s="2"/>
      <c r="U35" s="2"/>
      <c r="V35" s="2"/>
      <c r="W35" s="2"/>
      <c r="X35" s="2"/>
      <c r="Y35" s="2"/>
      <c r="Z35" s="2"/>
      <c r="AA35" s="2"/>
    </row>
    <row r="36" spans="1:27">
      <c r="A36" s="21" t="str">
        <f>'Revenue Model'!P$4</f>
        <v>Jul-27</v>
      </c>
      <c r="B36" s="16">
        <f>'Revenue Model'!P$17</f>
        <v>91763.251280074139</v>
      </c>
      <c r="C36" s="16">
        <f>'Revenue Model'!P$18</f>
        <v>1101159.0153608897</v>
      </c>
      <c r="D36" s="16">
        <f>'P&amp;L'!P$8</f>
        <v>88864.6108430569</v>
      </c>
      <c r="E36" s="16">
        <f>COGS!P$11+Opex!P$22</f>
        <v>114432.42093865508</v>
      </c>
      <c r="F36" s="16">
        <f>'Cash Runway'!P$19</f>
        <v>-103180.33330442591</v>
      </c>
      <c r="G36" s="2"/>
      <c r="H36" s="2"/>
      <c r="I36" s="2"/>
      <c r="J36" s="2"/>
      <c r="K36" s="2"/>
      <c r="L36" s="2"/>
      <c r="M36" s="2"/>
      <c r="N36" s="2"/>
      <c r="O36" s="2"/>
      <c r="P36" s="2"/>
      <c r="Q36" s="2"/>
      <c r="R36" s="2"/>
      <c r="S36" s="2"/>
      <c r="T36" s="2"/>
      <c r="U36" s="2"/>
      <c r="V36" s="2"/>
      <c r="W36" s="2"/>
      <c r="X36" s="2"/>
      <c r="Y36" s="2"/>
      <c r="Z36" s="2"/>
      <c r="AA36" s="2"/>
    </row>
    <row r="37" spans="1:27">
      <c r="A37" s="21" t="str">
        <f>'Revenue Model'!Q$4</f>
        <v>Aug-27</v>
      </c>
      <c r="B37" s="16">
        <f>'Revenue Model'!Q$17</f>
        <v>97812.696791613969</v>
      </c>
      <c r="C37" s="16">
        <f>'Revenue Model'!Q$18</f>
        <v>1173752.3614993677</v>
      </c>
      <c r="D37" s="16">
        <f>'P&amp;L'!Q$8</f>
        <v>94787.974035844061</v>
      </c>
      <c r="E37" s="16">
        <f>COGS!Q$11+Opex!Q$22</f>
        <v>116858.34914078479</v>
      </c>
      <c r="F37" s="16">
        <f>'Cash Runway'!Q$19</f>
        <v>-125250.70840936663</v>
      </c>
      <c r="G37" s="2"/>
      <c r="H37" s="2"/>
      <c r="I37" s="2"/>
      <c r="J37" s="2"/>
      <c r="K37" s="2"/>
      <c r="L37" s="2"/>
      <c r="M37" s="2"/>
      <c r="N37" s="2"/>
      <c r="O37" s="2"/>
      <c r="P37" s="2"/>
      <c r="Q37" s="2"/>
      <c r="R37" s="2"/>
      <c r="S37" s="2"/>
      <c r="T37" s="2"/>
      <c r="U37" s="2"/>
      <c r="V37" s="2"/>
      <c r="W37" s="2"/>
      <c r="X37" s="2"/>
      <c r="Y37" s="2"/>
      <c r="Z37" s="2"/>
      <c r="AA37" s="2"/>
    </row>
    <row r="38" spans="1:27">
      <c r="A38" s="21" t="str">
        <f>'Revenue Model'!R$4</f>
        <v>Sep-27</v>
      </c>
      <c r="B38" s="16">
        <f>'Revenue Model'!R$17</f>
        <v>104127.86331260027</v>
      </c>
      <c r="C38" s="16">
        <f>'Revenue Model'!R$18</f>
        <v>1249534.3597512031</v>
      </c>
      <c r="D38" s="16">
        <f>'P&amp;L'!R$8</f>
        <v>100970.28005210712</v>
      </c>
      <c r="E38" s="16">
        <f>COGS!R$11+Opex!R$22</f>
        <v>119390.48733378563</v>
      </c>
      <c r="F38" s="16">
        <f>'Cash Runway'!R$19</f>
        <v>-143670.91569104514</v>
      </c>
      <c r="G38" s="2"/>
      <c r="H38" s="2"/>
      <c r="I38" s="2"/>
      <c r="J38" s="2"/>
      <c r="K38" s="2"/>
      <c r="L38" s="2"/>
      <c r="M38" s="2"/>
      <c r="N38" s="2"/>
      <c r="O38" s="2"/>
      <c r="P38" s="2"/>
      <c r="Q38" s="2"/>
      <c r="R38" s="2"/>
      <c r="S38" s="2"/>
      <c r="T38" s="2"/>
      <c r="U38" s="2"/>
      <c r="V38" s="2"/>
      <c r="W38" s="2"/>
      <c r="X38" s="2"/>
      <c r="Y38" s="2"/>
      <c r="Z38" s="2"/>
      <c r="AA38" s="2"/>
    </row>
    <row r="39" spans="1:27">
      <c r="A39" s="21" t="str">
        <f>'Revenue Model'!S$4</f>
        <v>Oct-27</v>
      </c>
      <c r="B39" s="16">
        <f>'Revenue Model'!S$17</f>
        <v>110722.96118784852</v>
      </c>
      <c r="C39" s="16">
        <f>'Revenue Model'!S$18</f>
        <v>1328675.5342541821</v>
      </c>
      <c r="D39" s="16">
        <f>'P&amp;L'!S$8</f>
        <v>107425.41225022438</v>
      </c>
      <c r="E39" s="16">
        <f>COGS!S$11+Opex!S$22</f>
        <v>122034.28301653333</v>
      </c>
      <c r="F39" s="16">
        <f>'Cash Runway'!S$19</f>
        <v>-158279.78645735409</v>
      </c>
      <c r="G39" s="2"/>
      <c r="H39" s="2"/>
      <c r="I39" s="2"/>
      <c r="J39" s="2"/>
      <c r="K39" s="2"/>
      <c r="L39" s="2"/>
      <c r="M39" s="2"/>
      <c r="N39" s="2"/>
      <c r="O39" s="2"/>
      <c r="P39" s="2"/>
      <c r="Q39" s="2"/>
      <c r="R39" s="2"/>
      <c r="S39" s="2"/>
      <c r="T39" s="2"/>
      <c r="U39" s="2"/>
      <c r="V39" s="2"/>
      <c r="W39" s="2"/>
      <c r="X39" s="2"/>
      <c r="Y39" s="2"/>
      <c r="Z39" s="2"/>
      <c r="AA39" s="2"/>
    </row>
    <row r="40" spans="1:27">
      <c r="A40" s="21" t="str">
        <f>'Revenue Model'!T$4</f>
        <v>Nov-27</v>
      </c>
      <c r="B40" s="16">
        <f>'Revenue Model'!T$17</f>
        <v>117612.88803341228</v>
      </c>
      <c r="C40" s="16">
        <f>'Revenue Model'!T$18</f>
        <v>1411354.6564009474</v>
      </c>
      <c r="D40" s="16">
        <f>'P&amp;L'!T$8</f>
        <v>114167.92461063041</v>
      </c>
      <c r="E40" s="16">
        <f>COGS!T$11+Opex!T$22</f>
        <v>124795.45019307311</v>
      </c>
      <c r="F40" s="16">
        <f>'Cash Runway'!T$19</f>
        <v>-168907.31203979679</v>
      </c>
      <c r="G40" s="2"/>
      <c r="H40" s="2"/>
      <c r="I40" s="2"/>
      <c r="J40" s="2"/>
      <c r="K40" s="2"/>
      <c r="L40" s="2"/>
      <c r="M40" s="2"/>
      <c r="N40" s="2"/>
      <c r="O40" s="2"/>
      <c r="P40" s="2"/>
      <c r="Q40" s="2"/>
      <c r="R40" s="2"/>
      <c r="S40" s="2"/>
      <c r="T40" s="2"/>
      <c r="U40" s="2"/>
      <c r="V40" s="2"/>
      <c r="W40" s="2"/>
      <c r="X40" s="2"/>
      <c r="Y40" s="2"/>
      <c r="Z40" s="2"/>
      <c r="AA40" s="2"/>
    </row>
    <row r="41" spans="1:27">
      <c r="A41" s="21" t="str">
        <f>'Revenue Model'!U$4</f>
        <v>Dec-27</v>
      </c>
      <c r="B41" s="16">
        <f>'Revenue Model'!U$17</f>
        <v>124813.26368478204</v>
      </c>
      <c r="C41" s="16">
        <f>'Revenue Model'!U$18</f>
        <v>1497759.1642173845</v>
      </c>
      <c r="D41" s="16">
        <f>'P&amp;L'!U$8</f>
        <v>121213.07585909715</v>
      </c>
      <c r="E41" s="16">
        <f>COGS!U$11+Opex!U$22</f>
        <v>127679.98282126049</v>
      </c>
      <c r="F41" s="16">
        <f>'Cash Runway'!U$19</f>
        <v>-175374.21900196013</v>
      </c>
      <c r="G41" s="2"/>
      <c r="H41" s="2"/>
      <c r="I41" s="2"/>
      <c r="J41" s="2"/>
      <c r="K41" s="2"/>
      <c r="L41" s="2"/>
      <c r="M41" s="2"/>
      <c r="N41" s="2"/>
      <c r="O41" s="2"/>
      <c r="P41" s="2"/>
      <c r="Q41" s="2"/>
      <c r="R41" s="2"/>
      <c r="S41" s="2"/>
      <c r="T41" s="2"/>
      <c r="U41" s="2"/>
      <c r="V41" s="2"/>
      <c r="W41" s="2"/>
      <c r="X41" s="2"/>
      <c r="Y41" s="2"/>
      <c r="Z41" s="2"/>
      <c r="AA41" s="2"/>
    </row>
    <row r="42" spans="1:27">
      <c r="A42" s="21" t="str">
        <f>'Revenue Model'!V$4</f>
        <v>Jan-28</v>
      </c>
      <c r="B42" s="16">
        <f>'Revenue Model'!V$17</f>
        <v>132340.46687779034</v>
      </c>
      <c r="C42" s="16">
        <f>'Revenue Model'!V$18</f>
        <v>1588085.6025334841</v>
      </c>
      <c r="D42" s="16">
        <f>'P&amp;L'!V$8</f>
        <v>128576.86528128618</v>
      </c>
      <c r="E42" s="16">
        <f>COGS!V$11+Opex!V$22</f>
        <v>130694.1689304889</v>
      </c>
      <c r="F42" s="16">
        <f>'Cash Runway'!V$19</f>
        <v>-177491.52265116284</v>
      </c>
      <c r="G42" s="2"/>
      <c r="H42" s="2"/>
      <c r="I42" s="2"/>
      <c r="J42" s="2"/>
      <c r="K42" s="2"/>
      <c r="L42" s="2"/>
      <c r="M42" s="2"/>
      <c r="N42" s="2"/>
      <c r="O42" s="2"/>
      <c r="P42" s="2"/>
      <c r="Q42" s="2"/>
      <c r="R42" s="2"/>
      <c r="S42" s="2"/>
      <c r="T42" s="2"/>
      <c r="U42" s="2"/>
      <c r="V42" s="2"/>
      <c r="W42" s="2"/>
      <c r="X42" s="2"/>
      <c r="Y42" s="2"/>
      <c r="Z42" s="2"/>
      <c r="AA42" s="2"/>
    </row>
    <row r="43" spans="1:27">
      <c r="A43" s="21" t="str">
        <f>'Revenue Model'!W$4</f>
        <v>Feb-28</v>
      </c>
      <c r="B43" s="16">
        <f>'Revenue Model'!W$17</f>
        <v>140211.67374922853</v>
      </c>
      <c r="C43" s="16">
        <f>'Revenue Model'!W$18</f>
        <v>1682540.0849907424</v>
      </c>
      <c r="D43" s="16">
        <f>'P&amp;L'!W$8</f>
        <v>136276.07031350944</v>
      </c>
      <c r="E43" s="16">
        <f>COGS!W$11+Opex!W$22</f>
        <v>133844.60544203955</v>
      </c>
      <c r="F43" s="16">
        <f>'Cash Runway'!W$19</f>
        <v>-175060.05777969296</v>
      </c>
      <c r="G43" s="2"/>
      <c r="H43" s="2"/>
      <c r="I43" s="2"/>
      <c r="J43" s="2"/>
      <c r="K43" s="2"/>
      <c r="L43" s="2"/>
      <c r="M43" s="2"/>
      <c r="N43" s="2"/>
      <c r="O43" s="2"/>
      <c r="P43" s="2"/>
      <c r="Q43" s="2"/>
      <c r="R43" s="2"/>
      <c r="S43" s="2"/>
      <c r="T43" s="2"/>
      <c r="U43" s="2"/>
      <c r="V43" s="2"/>
      <c r="W43" s="2"/>
      <c r="X43" s="2"/>
      <c r="Y43" s="2"/>
      <c r="Z43" s="2"/>
      <c r="AA43" s="2"/>
    </row>
    <row r="44" spans="1:27">
      <c r="A44" s="21" t="str">
        <f>'Revenue Model'!X$4</f>
        <v>Mar-28</v>
      </c>
      <c r="B44" s="16">
        <f>'Revenue Model'!X$17</f>
        <v>148444.89824852077</v>
      </c>
      <c r="C44" s="16">
        <f>'Revenue Model'!X$18</f>
        <v>1781338.7789822491</v>
      </c>
      <c r="D44" s="16">
        <f>'P&amp;L'!X$8</f>
        <v>144328.28599887463</v>
      </c>
      <c r="E44" s="16">
        <f>COGS!X$11+Opex!X$22</f>
        <v>137138.21372726481</v>
      </c>
      <c r="F44" s="16">
        <f>'Cash Runway'!X$19</f>
        <v>-167869.98550808313</v>
      </c>
      <c r="G44" s="2"/>
      <c r="H44" s="2"/>
      <c r="I44" s="2"/>
      <c r="J44" s="2"/>
      <c r="K44" s="2"/>
      <c r="L44" s="2"/>
      <c r="M44" s="2"/>
      <c r="N44" s="2"/>
      <c r="O44" s="2"/>
      <c r="P44" s="2"/>
      <c r="Q44" s="2"/>
      <c r="R44" s="2"/>
      <c r="S44" s="2"/>
      <c r="T44" s="2"/>
      <c r="U44" s="2"/>
      <c r="V44" s="2"/>
      <c r="W44" s="2"/>
      <c r="X44" s="2"/>
      <c r="Y44" s="2"/>
      <c r="Z44" s="2"/>
      <c r="AA44" s="2"/>
    </row>
    <row r="45" spans="1:27">
      <c r="A45" s="21" t="str">
        <f>'Revenue Model'!Y$4</f>
        <v>Apr-28</v>
      </c>
      <c r="B45" s="16">
        <f>'Revenue Model'!Y$17</f>
        <v>157059.03455636007</v>
      </c>
      <c r="C45" s="16">
        <f>'Revenue Model'!Y$18</f>
        <v>1884708.4146763207</v>
      </c>
      <c r="D45" s="16">
        <f>'P&amp;L'!Y$8</f>
        <v>152751.96640244042</v>
      </c>
      <c r="E45" s="16">
        <f>COGS!Y$11+Opex!Y$22</f>
        <v>140582.25594057434</v>
      </c>
      <c r="F45" s="16">
        <f>'Cash Runway'!Y$19</f>
        <v>-155700.27504621705</v>
      </c>
      <c r="G45" s="2"/>
      <c r="H45" s="2"/>
      <c r="I45" s="2"/>
      <c r="J45" s="2"/>
      <c r="K45" s="2"/>
      <c r="L45" s="2"/>
      <c r="M45" s="2"/>
      <c r="N45" s="2"/>
      <c r="O45" s="2"/>
      <c r="P45" s="2"/>
      <c r="Q45" s="2"/>
      <c r="R45" s="2"/>
      <c r="S45" s="2"/>
      <c r="T45" s="2"/>
      <c r="U45" s="2"/>
      <c r="V45" s="2"/>
      <c r="W45" s="2"/>
      <c r="X45" s="2"/>
      <c r="Y45" s="2"/>
      <c r="Z45" s="2"/>
      <c r="AA45" s="2"/>
    </row>
    <row r="46" spans="1:27">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c r="A80" s="2"/>
      <c r="B80" s="2"/>
      <c r="C80" s="2"/>
      <c r="D80" s="2"/>
      <c r="E80" s="2"/>
      <c r="F80" s="2"/>
      <c r="G80" s="2"/>
      <c r="H80" s="2"/>
      <c r="I80" s="2"/>
      <c r="J80" s="2"/>
      <c r="K80" s="2"/>
      <c r="L80" s="2"/>
      <c r="M80" s="2"/>
      <c r="N80" s="2"/>
      <c r="O80" s="2"/>
      <c r="P80" s="2"/>
      <c r="Q80" s="2"/>
      <c r="R80" s="2"/>
      <c r="S80" s="2"/>
      <c r="T80" s="2"/>
      <c r="U80" s="2"/>
      <c r="V80" s="2"/>
      <c r="W80" s="2"/>
      <c r="X80" s="2"/>
      <c r="Y80" s="2"/>
      <c r="Z80" s="2"/>
      <c r="AA80" s="2"/>
    </row>
  </sheetData>
  <mergeCells count="39">
    <mergeCell ref="B18:L18"/>
    <mergeCell ref="J11:L11"/>
    <mergeCell ref="J7:L7"/>
    <mergeCell ref="A14:L14"/>
    <mergeCell ref="B17:L17"/>
    <mergeCell ref="A11:C11"/>
    <mergeCell ref="J10:L10"/>
    <mergeCell ref="B15:L15"/>
    <mergeCell ref="D11:F11"/>
    <mergeCell ref="G10:I10"/>
    <mergeCell ref="B16:L16"/>
    <mergeCell ref="D12:F12"/>
    <mergeCell ref="J12:L12"/>
    <mergeCell ref="G12:I12"/>
    <mergeCell ref="G11:I11"/>
    <mergeCell ref="A4:C4"/>
    <mergeCell ref="A10:C10"/>
    <mergeCell ref="D5:F5"/>
    <mergeCell ref="A9:C9"/>
    <mergeCell ref="G9:I9"/>
    <mergeCell ref="D10:F10"/>
    <mergeCell ref="G4:I4"/>
    <mergeCell ref="D9:F9"/>
    <mergeCell ref="J4:L4"/>
    <mergeCell ref="A12:C12"/>
    <mergeCell ref="D7:F7"/>
    <mergeCell ref="J5:L5"/>
    <mergeCell ref="A1:L1"/>
    <mergeCell ref="A6:C6"/>
    <mergeCell ref="G7:I7"/>
    <mergeCell ref="J9:L9"/>
    <mergeCell ref="A7:C7"/>
    <mergeCell ref="D6:F6"/>
    <mergeCell ref="A2:L2"/>
    <mergeCell ref="A5:C5"/>
    <mergeCell ref="G5:I5"/>
    <mergeCell ref="D4:F4"/>
    <mergeCell ref="J6:L6"/>
    <mergeCell ref="G6:I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A80"/>
  <sheetViews>
    <sheetView showGridLines="0" workbookViewId="0">
      <selection activeCell="D16" sqref="D16"/>
    </sheetView>
  </sheetViews>
  <sheetFormatPr defaultRowHeight="13.8"/>
  <cols>
    <col min="1" max="2" width="18" customWidth="1"/>
    <col min="3" max="4" width="16" customWidth="1"/>
    <col min="5" max="7" width="18" customWidth="1"/>
    <col min="8" max="8" width="40" customWidth="1"/>
  </cols>
  <sheetData>
    <row r="1" spans="1:27">
      <c r="A1" s="55" t="s">
        <v>280</v>
      </c>
      <c r="B1" s="56"/>
      <c r="C1" s="56"/>
      <c r="D1" s="56"/>
      <c r="E1" s="56"/>
      <c r="F1" s="56"/>
      <c r="G1" s="56"/>
      <c r="H1" s="56"/>
      <c r="I1" s="2"/>
      <c r="J1" s="2"/>
      <c r="K1" s="2"/>
      <c r="L1" s="2"/>
      <c r="M1" s="2"/>
      <c r="N1" s="2"/>
      <c r="O1" s="2"/>
      <c r="P1" s="2"/>
      <c r="Q1" s="2"/>
      <c r="R1" s="2"/>
      <c r="S1" s="2"/>
      <c r="T1" s="2"/>
      <c r="U1" s="2"/>
      <c r="V1" s="2"/>
      <c r="W1" s="2"/>
      <c r="X1" s="2"/>
      <c r="Y1" s="2"/>
      <c r="Z1" s="2"/>
      <c r="AA1" s="2"/>
    </row>
    <row r="2" spans="1:27">
      <c r="A2" s="2"/>
      <c r="B2" s="2"/>
      <c r="C2" s="2"/>
      <c r="D2" s="2"/>
      <c r="E2" s="2"/>
      <c r="F2" s="2"/>
      <c r="G2" s="2"/>
      <c r="H2" s="2"/>
      <c r="I2" s="2"/>
      <c r="J2" s="2"/>
      <c r="K2" s="2"/>
      <c r="L2" s="2"/>
      <c r="M2" s="2"/>
      <c r="N2" s="2"/>
      <c r="O2" s="2"/>
      <c r="P2" s="2"/>
      <c r="Q2" s="2"/>
      <c r="R2" s="2"/>
      <c r="S2" s="2"/>
      <c r="T2" s="2"/>
      <c r="U2" s="2"/>
      <c r="V2" s="2"/>
      <c r="W2" s="2"/>
      <c r="X2" s="2"/>
      <c r="Y2" s="2"/>
      <c r="Z2" s="2"/>
      <c r="AA2" s="2"/>
    </row>
    <row r="3" spans="1:27" ht="27.6">
      <c r="A3" s="24" t="s">
        <v>281</v>
      </c>
      <c r="B3" s="24" t="s">
        <v>282</v>
      </c>
      <c r="C3" s="24" t="s">
        <v>283</v>
      </c>
      <c r="D3" s="24" t="s">
        <v>284</v>
      </c>
      <c r="E3" s="24" t="s">
        <v>258</v>
      </c>
      <c r="F3" s="24" t="s">
        <v>252</v>
      </c>
      <c r="G3" s="24" t="s">
        <v>266</v>
      </c>
      <c r="H3" s="24" t="s">
        <v>285</v>
      </c>
      <c r="I3" s="2"/>
      <c r="J3" s="2"/>
      <c r="K3" s="2"/>
      <c r="L3" s="2"/>
      <c r="M3" s="2"/>
      <c r="N3" s="2"/>
      <c r="O3" s="2"/>
      <c r="P3" s="2"/>
      <c r="Q3" s="2"/>
      <c r="R3" s="2"/>
      <c r="S3" s="2"/>
      <c r="T3" s="2"/>
      <c r="U3" s="2"/>
      <c r="V3" s="2"/>
      <c r="W3" s="2"/>
      <c r="X3" s="2"/>
      <c r="Y3" s="2"/>
      <c r="Z3" s="2"/>
      <c r="AA3" s="2"/>
    </row>
    <row r="4" spans="1:27">
      <c r="A4" s="27" t="s">
        <v>286</v>
      </c>
      <c r="B4" s="28">
        <v>0.02</v>
      </c>
      <c r="C4" s="28">
        <v>0.04</v>
      </c>
      <c r="D4" s="28">
        <v>2E-3</v>
      </c>
      <c r="E4" s="29">
        <f>'Revenue Model'!Y18*(1+(B4-Assumptions!$C$17)*8-(C4-Assumptions!$C$18)*10+(D4-Assumptions!$C$19)*6)</f>
        <v>1209982.8022221979</v>
      </c>
      <c r="F4" s="29">
        <f>'Cash Runway'!Y19+(E4-'Revenue Model'!Y18)*0.3</f>
        <v>-358117.9587824539</v>
      </c>
      <c r="G4" s="29">
        <f>MAX(0,Assumptions!$C$9-F4)</f>
        <v>433117.9587824539</v>
      </c>
      <c r="H4" s="26" t="s">
        <v>287</v>
      </c>
      <c r="I4" s="2"/>
      <c r="J4" s="2"/>
      <c r="K4" s="2"/>
      <c r="L4" s="2"/>
      <c r="M4" s="2"/>
      <c r="N4" s="2"/>
      <c r="O4" s="2"/>
      <c r="P4" s="2"/>
      <c r="Q4" s="2"/>
      <c r="R4" s="2"/>
      <c r="S4" s="2"/>
      <c r="T4" s="2"/>
      <c r="U4" s="2"/>
      <c r="V4" s="2"/>
      <c r="W4" s="2"/>
      <c r="X4" s="2"/>
      <c r="Y4" s="2"/>
      <c r="Z4" s="2"/>
      <c r="AA4" s="2"/>
    </row>
    <row r="5" spans="1:27">
      <c r="A5" s="27" t="s">
        <v>288</v>
      </c>
      <c r="B5" s="28">
        <v>0.05</v>
      </c>
      <c r="C5" s="28">
        <v>0.03</v>
      </c>
      <c r="D5" s="28">
        <v>5.0000000000000001E-3</v>
      </c>
      <c r="E5" s="29">
        <f>'Revenue Model'!Y18*(1+(B5-Assumptions!$C$17)*8-(C5-Assumptions!$C$18)*10+(D5-Assumptions!$C$19)*6)</f>
        <v>1884708.4146763207</v>
      </c>
      <c r="F5" s="29">
        <f>'Cash Runway'!Y19+(E5-'Revenue Model'!Y18)*0.3</f>
        <v>-155700.27504621705</v>
      </c>
      <c r="G5" s="29">
        <f>MAX(0,Assumptions!$C$9-F5)</f>
        <v>230700.27504621705</v>
      </c>
      <c r="H5" s="26" t="s">
        <v>289</v>
      </c>
      <c r="I5" s="2"/>
      <c r="J5" s="2"/>
      <c r="K5" s="2"/>
      <c r="L5" s="2"/>
      <c r="M5" s="2"/>
      <c r="N5" s="2"/>
      <c r="O5" s="2"/>
      <c r="P5" s="2"/>
      <c r="Q5" s="2"/>
      <c r="R5" s="2"/>
      <c r="S5" s="2"/>
      <c r="T5" s="2"/>
      <c r="U5" s="2"/>
      <c r="V5" s="2"/>
      <c r="W5" s="2"/>
      <c r="X5" s="2"/>
      <c r="Y5" s="2"/>
      <c r="Z5" s="2"/>
      <c r="AA5" s="2"/>
    </row>
    <row r="6" spans="1:27">
      <c r="A6" s="27" t="s">
        <v>290</v>
      </c>
      <c r="B6" s="28">
        <v>0.08</v>
      </c>
      <c r="C6" s="28">
        <v>0.02</v>
      </c>
      <c r="D6" s="28">
        <v>8.0000000000000002E-3</v>
      </c>
      <c r="E6" s="29">
        <f>'Revenue Model'!Y18*(1+(B6-Assumptions!$C$17)*8-(C6-Assumptions!$C$18)*10+(D6-Assumptions!$C$19)*6)</f>
        <v>2559434.0271304431</v>
      </c>
      <c r="F6" s="29">
        <f>'Cash Runway'!Y19+(E6-'Revenue Model'!Y18)*0.3</f>
        <v>46717.408690019656</v>
      </c>
      <c r="G6" s="29">
        <f>MAX(0,Assumptions!$C$9-F6)</f>
        <v>28282.591309980344</v>
      </c>
      <c r="H6" s="26" t="s">
        <v>291</v>
      </c>
      <c r="I6" s="2"/>
      <c r="J6" s="2"/>
      <c r="K6" s="2"/>
      <c r="L6" s="2"/>
      <c r="M6" s="2"/>
      <c r="N6" s="2"/>
      <c r="O6" s="2"/>
      <c r="P6" s="2"/>
      <c r="Q6" s="2"/>
      <c r="R6" s="2"/>
      <c r="S6" s="2"/>
      <c r="T6" s="2"/>
      <c r="U6" s="2"/>
      <c r="V6" s="2"/>
      <c r="W6" s="2"/>
      <c r="X6" s="2"/>
      <c r="Y6" s="2"/>
      <c r="Z6" s="2"/>
      <c r="AA6" s="2"/>
    </row>
    <row r="7" spans="1:27">
      <c r="A7" s="2"/>
      <c r="B7" s="2"/>
      <c r="C7" s="2"/>
      <c r="D7" s="2"/>
      <c r="E7" s="2"/>
      <c r="F7" s="2"/>
      <c r="G7" s="2"/>
      <c r="H7" s="2"/>
      <c r="I7" s="2"/>
      <c r="J7" s="2"/>
      <c r="K7" s="2"/>
      <c r="L7" s="2"/>
      <c r="M7" s="2"/>
      <c r="N7" s="2"/>
      <c r="O7" s="2"/>
      <c r="P7" s="2"/>
      <c r="Q7" s="2"/>
      <c r="R7" s="2"/>
      <c r="S7" s="2"/>
      <c r="T7" s="2"/>
      <c r="U7" s="2"/>
      <c r="V7" s="2"/>
      <c r="W7" s="2"/>
      <c r="X7" s="2"/>
      <c r="Y7" s="2"/>
      <c r="Z7" s="2"/>
      <c r="AA7" s="2"/>
    </row>
    <row r="8" spans="1:27">
      <c r="A8" s="2"/>
      <c r="B8" s="2"/>
      <c r="C8" s="2"/>
      <c r="D8" s="2"/>
      <c r="E8" s="2"/>
      <c r="F8" s="2"/>
      <c r="G8" s="2"/>
      <c r="H8" s="2"/>
      <c r="I8" s="2"/>
      <c r="J8" s="2"/>
      <c r="K8" s="2"/>
      <c r="L8" s="2"/>
      <c r="M8" s="2"/>
      <c r="N8" s="2"/>
      <c r="O8" s="2"/>
      <c r="P8" s="2"/>
      <c r="Q8" s="2"/>
      <c r="R8" s="2"/>
      <c r="S8" s="2"/>
      <c r="T8" s="2"/>
      <c r="U8" s="2"/>
      <c r="V8" s="2"/>
      <c r="W8" s="2"/>
      <c r="X8" s="2"/>
      <c r="Y8" s="2"/>
      <c r="Z8" s="2"/>
      <c r="AA8" s="2"/>
    </row>
    <row r="9" spans="1:27">
      <c r="A9" s="2"/>
      <c r="B9" s="2"/>
      <c r="C9" s="2"/>
      <c r="D9" s="2"/>
      <c r="E9" s="2"/>
      <c r="F9" s="2"/>
      <c r="G9" s="2"/>
      <c r="H9" s="2"/>
      <c r="I9" s="2"/>
      <c r="J9" s="2"/>
      <c r="K9" s="2"/>
      <c r="L9" s="2"/>
      <c r="M9" s="2"/>
      <c r="N9" s="2"/>
      <c r="O9" s="2"/>
      <c r="P9" s="2"/>
      <c r="Q9" s="2"/>
      <c r="R9" s="2"/>
      <c r="S9" s="2"/>
      <c r="T9" s="2"/>
      <c r="U9" s="2"/>
      <c r="V9" s="2"/>
      <c r="W9" s="2"/>
      <c r="X9" s="2"/>
      <c r="Y9" s="2"/>
      <c r="Z9" s="2"/>
      <c r="AA9" s="2"/>
    </row>
    <row r="10" spans="1:27">
      <c r="A10" s="2"/>
      <c r="B10" s="2"/>
      <c r="C10" s="2"/>
      <c r="D10" s="2"/>
      <c r="E10" s="2"/>
      <c r="F10" s="2"/>
      <c r="G10" s="2"/>
      <c r="H10" s="2"/>
      <c r="I10" s="2"/>
      <c r="J10" s="2"/>
      <c r="K10" s="2"/>
      <c r="L10" s="2"/>
      <c r="M10" s="2"/>
      <c r="N10" s="2"/>
      <c r="O10" s="2"/>
      <c r="P10" s="2"/>
      <c r="Q10" s="2"/>
      <c r="R10" s="2"/>
      <c r="S10" s="2"/>
      <c r="T10" s="2"/>
      <c r="U10" s="2"/>
      <c r="V10" s="2"/>
      <c r="W10" s="2"/>
      <c r="X10" s="2"/>
      <c r="Y10" s="2"/>
      <c r="Z10" s="2"/>
      <c r="AA10" s="2"/>
    </row>
    <row r="11" spans="1:27">
      <c r="A11" s="2"/>
      <c r="B11" s="2"/>
      <c r="C11" s="2"/>
      <c r="D11" s="2"/>
      <c r="E11" s="2"/>
      <c r="F11" s="2"/>
      <c r="G11" s="2"/>
      <c r="H11" s="2"/>
      <c r="I11" s="2"/>
      <c r="J11" s="2"/>
      <c r="K11" s="2"/>
      <c r="L11" s="2"/>
      <c r="M11" s="2"/>
      <c r="N11" s="2"/>
      <c r="O11" s="2"/>
      <c r="P11" s="2"/>
      <c r="Q11" s="2"/>
      <c r="R11" s="2"/>
      <c r="S11" s="2"/>
      <c r="T11" s="2"/>
      <c r="U11" s="2"/>
      <c r="V11" s="2"/>
      <c r="W11" s="2"/>
      <c r="X11" s="2"/>
      <c r="Y11" s="2"/>
      <c r="Z11" s="2"/>
      <c r="AA11" s="2"/>
    </row>
    <row r="12" spans="1:27">
      <c r="A12" s="2"/>
      <c r="B12" s="2"/>
      <c r="C12" s="2"/>
      <c r="D12" s="2"/>
      <c r="E12" s="2"/>
      <c r="F12" s="2"/>
      <c r="G12" s="2"/>
      <c r="H12" s="2"/>
      <c r="I12" s="2"/>
      <c r="J12" s="2"/>
      <c r="K12" s="2"/>
      <c r="L12" s="2"/>
      <c r="M12" s="2"/>
      <c r="N12" s="2"/>
      <c r="O12" s="2"/>
      <c r="P12" s="2"/>
      <c r="Q12" s="2"/>
      <c r="R12" s="2"/>
      <c r="S12" s="2"/>
      <c r="T12" s="2"/>
      <c r="U12" s="2"/>
      <c r="V12" s="2"/>
      <c r="W12" s="2"/>
      <c r="X12" s="2"/>
      <c r="Y12" s="2"/>
      <c r="Z12" s="2"/>
      <c r="AA12" s="2"/>
    </row>
    <row r="13" spans="1:27">
      <c r="A13" s="2"/>
      <c r="B13" s="2"/>
      <c r="C13" s="2"/>
      <c r="D13" s="2"/>
      <c r="E13" s="2"/>
      <c r="F13" s="2"/>
      <c r="G13" s="2"/>
      <c r="H13" s="2"/>
      <c r="I13" s="2"/>
      <c r="J13" s="2"/>
      <c r="K13" s="2"/>
      <c r="L13" s="2"/>
      <c r="M13" s="2"/>
      <c r="N13" s="2"/>
      <c r="O13" s="2"/>
      <c r="P13" s="2"/>
      <c r="Q13" s="2"/>
      <c r="R13" s="2"/>
      <c r="S13" s="2"/>
      <c r="T13" s="2"/>
      <c r="U13" s="2"/>
      <c r="V13" s="2"/>
      <c r="W13" s="2"/>
      <c r="X13" s="2"/>
      <c r="Y13" s="2"/>
      <c r="Z13" s="2"/>
      <c r="AA13" s="2"/>
    </row>
    <row r="14" spans="1:27">
      <c r="A14" s="2"/>
      <c r="B14" s="2"/>
      <c r="C14" s="2"/>
      <c r="D14" s="2"/>
      <c r="E14" s="2"/>
      <c r="F14" s="2"/>
      <c r="G14" s="2"/>
      <c r="H14" s="2"/>
      <c r="I14" s="2"/>
      <c r="J14" s="2"/>
      <c r="K14" s="2"/>
      <c r="L14" s="2"/>
      <c r="M14" s="2"/>
      <c r="N14" s="2"/>
      <c r="O14" s="2"/>
      <c r="P14" s="2"/>
      <c r="Q14" s="2"/>
      <c r="R14" s="2"/>
      <c r="S14" s="2"/>
      <c r="T14" s="2"/>
      <c r="U14" s="2"/>
      <c r="V14" s="2"/>
      <c r="W14" s="2"/>
      <c r="X14" s="2"/>
      <c r="Y14" s="2"/>
      <c r="Z14" s="2"/>
      <c r="AA14" s="2"/>
    </row>
    <row r="15" spans="1:27">
      <c r="A15" s="2"/>
      <c r="B15" s="2"/>
      <c r="C15" s="2"/>
      <c r="D15" s="2"/>
      <c r="E15" s="2"/>
      <c r="F15" s="2"/>
      <c r="G15" s="2"/>
      <c r="H15" s="2"/>
      <c r="I15" s="2"/>
      <c r="J15" s="2"/>
      <c r="K15" s="2"/>
      <c r="L15" s="2"/>
      <c r="M15" s="2"/>
      <c r="N15" s="2"/>
      <c r="O15" s="2"/>
      <c r="P15" s="2"/>
      <c r="Q15" s="2"/>
      <c r="R15" s="2"/>
      <c r="S15" s="2"/>
      <c r="T15" s="2"/>
      <c r="U15" s="2"/>
      <c r="V15" s="2"/>
      <c r="W15" s="2"/>
      <c r="X15" s="2"/>
      <c r="Y15" s="2"/>
      <c r="Z15" s="2"/>
      <c r="AA15" s="2"/>
    </row>
    <row r="16" spans="1:27">
      <c r="A16" s="2"/>
      <c r="B16" s="2"/>
      <c r="C16" s="2"/>
      <c r="D16" s="2"/>
      <c r="E16" s="2"/>
      <c r="F16" s="2"/>
      <c r="G16" s="2"/>
      <c r="H16" s="2"/>
      <c r="I16" s="2"/>
      <c r="J16" s="2"/>
      <c r="K16" s="2"/>
      <c r="L16" s="2"/>
      <c r="M16" s="2"/>
      <c r="N16" s="2"/>
      <c r="O16" s="2"/>
      <c r="P16" s="2"/>
      <c r="Q16" s="2"/>
      <c r="R16" s="2"/>
      <c r="S16" s="2"/>
      <c r="T16" s="2"/>
      <c r="U16" s="2"/>
      <c r="V16" s="2"/>
      <c r="W16" s="2"/>
      <c r="X16" s="2"/>
      <c r="Y16" s="2"/>
      <c r="Z16" s="2"/>
      <c r="AA16" s="2"/>
    </row>
    <row r="17" spans="1:27">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spans="1:27">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spans="1:27">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spans="1:27">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spans="1:27">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spans="1:27">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spans="1:27">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spans="1:27">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spans="1:27">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spans="1:27">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spans="1: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spans="1:27">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spans="1:27">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spans="1:27">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spans="1:27">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spans="1:27">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spans="1:27">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spans="1:27">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spans="1:27">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c r="A80" s="2"/>
      <c r="B80" s="2"/>
      <c r="C80" s="2"/>
      <c r="D80" s="2"/>
      <c r="E80" s="2"/>
      <c r="F80" s="2"/>
      <c r="G80" s="2"/>
      <c r="H80" s="2"/>
      <c r="I80" s="2"/>
      <c r="J80" s="2"/>
      <c r="K80" s="2"/>
      <c r="L80" s="2"/>
      <c r="M80" s="2"/>
      <c r="N80" s="2"/>
      <c r="O80" s="2"/>
      <c r="P80" s="2"/>
      <c r="Q80" s="2"/>
      <c r="R80" s="2"/>
      <c r="S80" s="2"/>
      <c r="T80" s="2"/>
      <c r="U80" s="2"/>
      <c r="V80" s="2"/>
      <c r="W80" s="2"/>
      <c r="X80" s="2"/>
      <c r="Y80" s="2"/>
      <c r="Z80" s="2"/>
      <c r="AA80" s="2"/>
    </row>
  </sheetData>
  <mergeCells count="1">
    <mergeCell ref="A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A80"/>
  <sheetViews>
    <sheetView showGridLines="0" topLeftCell="A3" workbookViewId="0">
      <selection activeCell="N64" sqref="N64"/>
    </sheetView>
  </sheetViews>
  <sheetFormatPr defaultRowHeight="13.8"/>
  <cols>
    <col min="1" max="4" width="14" customWidth="1"/>
    <col min="5" max="5" width="5.69921875" customWidth="1"/>
    <col min="6" max="8" width="14" customWidth="1"/>
    <col min="9" max="9" width="5.19921875" customWidth="1"/>
    <col min="10" max="11" width="14" customWidth="1"/>
    <col min="12" max="12" width="5.09765625" customWidth="1"/>
    <col min="13" max="14" width="14" customWidth="1"/>
    <col min="16" max="27" width="12" customWidth="1"/>
  </cols>
  <sheetData>
    <row r="1" spans="1:27" ht="21">
      <c r="A1" s="74" t="s">
        <v>292</v>
      </c>
      <c r="B1" s="73"/>
      <c r="C1" s="73"/>
      <c r="D1" s="73"/>
      <c r="E1" s="73"/>
      <c r="F1" s="73"/>
      <c r="G1" s="73"/>
      <c r="H1" s="73"/>
      <c r="I1" s="73"/>
      <c r="J1" s="73"/>
      <c r="K1" s="73"/>
      <c r="L1" s="73"/>
      <c r="M1" s="73"/>
      <c r="N1" s="73"/>
      <c r="O1" s="2"/>
      <c r="P1" s="2"/>
      <c r="Q1" s="2"/>
      <c r="R1" s="2"/>
      <c r="S1" s="2"/>
      <c r="T1" s="2"/>
      <c r="U1" s="2"/>
      <c r="V1" s="2"/>
      <c r="W1" s="2"/>
      <c r="X1" s="2"/>
      <c r="Y1" s="2"/>
      <c r="Z1" s="2"/>
      <c r="AA1" s="2"/>
    </row>
    <row r="2" spans="1:27">
      <c r="A2" s="72" t="s">
        <v>293</v>
      </c>
      <c r="B2" s="73"/>
      <c r="C2" s="73"/>
      <c r="D2" s="73"/>
      <c r="E2" s="73"/>
      <c r="F2" s="73"/>
      <c r="G2" s="73"/>
      <c r="H2" s="73"/>
      <c r="I2" s="73"/>
      <c r="J2" s="73"/>
      <c r="K2" s="73"/>
      <c r="L2" s="73"/>
      <c r="M2" s="73"/>
      <c r="N2" s="73"/>
      <c r="O2" s="2"/>
      <c r="P2" s="2"/>
      <c r="Q2" s="2"/>
      <c r="R2" s="2"/>
      <c r="S2" s="2"/>
      <c r="T2" s="2"/>
      <c r="U2" s="2"/>
      <c r="V2" s="2"/>
      <c r="W2" s="2"/>
      <c r="X2" s="2"/>
      <c r="Y2" s="2"/>
      <c r="Z2" s="2"/>
      <c r="AA2" s="2"/>
    </row>
    <row r="3" spans="1:27">
      <c r="A3" s="22"/>
      <c r="B3" s="22"/>
      <c r="C3" s="22"/>
      <c r="D3" s="22"/>
      <c r="E3" s="22"/>
      <c r="F3" s="22"/>
      <c r="G3" s="22"/>
      <c r="H3" s="22"/>
      <c r="I3" s="22"/>
      <c r="J3" s="22"/>
      <c r="K3" s="22"/>
      <c r="L3" s="22"/>
      <c r="M3" s="22"/>
      <c r="N3" s="22"/>
      <c r="O3" s="2"/>
      <c r="P3" s="2"/>
      <c r="Q3" s="2"/>
      <c r="R3" s="2"/>
      <c r="S3" s="2"/>
      <c r="T3" s="2"/>
      <c r="U3" s="2"/>
      <c r="V3" s="2"/>
      <c r="W3" s="2"/>
      <c r="X3" s="2"/>
      <c r="Y3" s="2"/>
      <c r="Z3" s="2"/>
      <c r="AA3" s="2"/>
    </row>
    <row r="4" spans="1:27" ht="27.6">
      <c r="A4" s="30" t="s">
        <v>277</v>
      </c>
      <c r="B4" s="30" t="s">
        <v>278</v>
      </c>
      <c r="C4" s="30" t="s">
        <v>158</v>
      </c>
      <c r="D4" s="30" t="s">
        <v>233</v>
      </c>
      <c r="E4" s="23"/>
      <c r="F4" s="30" t="s">
        <v>277</v>
      </c>
      <c r="G4" s="30" t="s">
        <v>233</v>
      </c>
      <c r="H4" s="30" t="s">
        <v>279</v>
      </c>
      <c r="I4" s="23"/>
      <c r="J4" s="30" t="s">
        <v>277</v>
      </c>
      <c r="K4" s="30" t="s">
        <v>252</v>
      </c>
      <c r="L4" s="23"/>
      <c r="M4" s="30" t="s">
        <v>277</v>
      </c>
      <c r="N4" s="33" t="s">
        <v>150</v>
      </c>
      <c r="O4" s="2"/>
      <c r="P4" s="2"/>
      <c r="Q4" s="2"/>
      <c r="R4" s="2"/>
      <c r="S4" s="2"/>
      <c r="T4" s="2"/>
      <c r="U4" s="2"/>
      <c r="V4" s="2"/>
      <c r="W4" s="2"/>
      <c r="X4" s="2"/>
      <c r="Y4" s="2"/>
      <c r="Z4" s="2"/>
      <c r="AA4" s="2"/>
    </row>
    <row r="5" spans="1:27">
      <c r="A5" s="31" t="str">
        <f>'Revenue Model'!B$4</f>
        <v>May-26</v>
      </c>
      <c r="B5" s="32">
        <f>'Revenue Model'!B$17</f>
        <v>28391.25</v>
      </c>
      <c r="C5" s="32">
        <f>'Revenue Model'!B$18</f>
        <v>340695</v>
      </c>
      <c r="D5" s="32">
        <f>'P&amp;L'!B$8</f>
        <v>26695.625</v>
      </c>
      <c r="E5" s="22"/>
      <c r="F5" s="31" t="str">
        <f>'P&amp;L'!B$4</f>
        <v>May-26</v>
      </c>
      <c r="G5" s="32">
        <f>'P&amp;L'!B$8</f>
        <v>26695.625</v>
      </c>
      <c r="H5" s="32">
        <f>COGS!B$11+Opex!B$22</f>
        <v>57498.037499999999</v>
      </c>
      <c r="I5" s="22"/>
      <c r="J5" s="31" t="str">
        <f>'Cash Runway'!B$4</f>
        <v>May-26</v>
      </c>
      <c r="K5" s="32">
        <f>'Cash Runway'!B$19</f>
        <v>369197.58750000002</v>
      </c>
      <c r="L5" s="22"/>
      <c r="M5" s="31" t="str">
        <f>'Revenue Model'!B$4</f>
        <v>May-26</v>
      </c>
      <c r="N5" s="34">
        <f>'Revenue Model'!B$9</f>
        <v>56.5</v>
      </c>
      <c r="O5" s="2"/>
      <c r="P5" s="2"/>
      <c r="Q5" s="2"/>
      <c r="R5" s="2"/>
      <c r="S5" s="2"/>
      <c r="T5" s="2"/>
      <c r="U5" s="2"/>
      <c r="V5" s="2"/>
      <c r="W5" s="2"/>
      <c r="X5" s="2"/>
      <c r="Y5" s="2"/>
      <c r="Z5" s="2"/>
      <c r="AA5" s="2"/>
    </row>
    <row r="6" spans="1:27">
      <c r="A6" s="31" t="str">
        <f>'Revenue Model'!C$4</f>
        <v>Jun-26</v>
      </c>
      <c r="B6" s="32">
        <f>'Revenue Model'!C$17</f>
        <v>31898.210062500002</v>
      </c>
      <c r="C6" s="32">
        <f>'Revenue Model'!C$18</f>
        <v>382778.52075000003</v>
      </c>
      <c r="D6" s="32">
        <f>'P&amp;L'!C$8</f>
        <v>30144.730031250001</v>
      </c>
      <c r="E6" s="22"/>
      <c r="F6" s="31" t="str">
        <f>'P&amp;L'!C$4</f>
        <v>Jun-26</v>
      </c>
      <c r="G6" s="32">
        <f>'P&amp;L'!C$8</f>
        <v>30144.730031250001</v>
      </c>
      <c r="H6" s="32">
        <f>COGS!C$11+Opex!C$22</f>
        <v>58886.840606874997</v>
      </c>
      <c r="I6" s="22"/>
      <c r="J6" s="31" t="str">
        <f>'Cash Runway'!C$4</f>
        <v>Jun-26</v>
      </c>
      <c r="K6" s="32">
        <f>'Cash Runway'!C$19</f>
        <v>340455.47692437499</v>
      </c>
      <c r="L6" s="22"/>
      <c r="M6" s="31" t="str">
        <f>'Revenue Model'!C$4</f>
        <v>Jun-26</v>
      </c>
      <c r="N6" s="34">
        <f>'Revenue Model'!C$9</f>
        <v>63.205000000000005</v>
      </c>
      <c r="O6" s="2"/>
      <c r="P6" s="2"/>
      <c r="Q6" s="2"/>
      <c r="R6" s="2"/>
      <c r="S6" s="2"/>
      <c r="T6" s="2"/>
      <c r="U6" s="2"/>
      <c r="V6" s="2"/>
      <c r="W6" s="2"/>
      <c r="X6" s="2"/>
      <c r="Y6" s="2"/>
      <c r="Z6" s="2"/>
      <c r="AA6" s="2"/>
    </row>
    <row r="7" spans="1:27">
      <c r="A7" s="31" t="str">
        <f>'Revenue Model'!D$4</f>
        <v>Jul-26</v>
      </c>
      <c r="B7" s="32">
        <f>'Revenue Model'!D$17</f>
        <v>35528.020079428126</v>
      </c>
      <c r="C7" s="32">
        <f>'Revenue Model'!D$18</f>
        <v>426336.24095313752</v>
      </c>
      <c r="D7" s="32">
        <f>'P&amp;L'!D$8</f>
        <v>33713.115070964064</v>
      </c>
      <c r="E7" s="22"/>
      <c r="F7" s="31" t="str">
        <f>'P&amp;L'!D$4</f>
        <v>Jul-26</v>
      </c>
      <c r="G7" s="32">
        <f>'P&amp;L'!D$8</f>
        <v>33713.115070964064</v>
      </c>
      <c r="H7" s="32">
        <f>COGS!D$11+Opex!D$22</f>
        <v>60327.385315612089</v>
      </c>
      <c r="I7" s="22"/>
      <c r="J7" s="31" t="str">
        <f>'Cash Runway'!D$4</f>
        <v>Jul-26</v>
      </c>
      <c r="K7" s="32">
        <f>'Cash Runway'!D$19</f>
        <v>313841.20667972695</v>
      </c>
      <c r="L7" s="22"/>
      <c r="M7" s="31" t="str">
        <f>'Revenue Model'!D$4</f>
        <v>Jul-26</v>
      </c>
      <c r="N7" s="34">
        <f>'Revenue Model'!D$9</f>
        <v>70.12885</v>
      </c>
      <c r="O7" s="2"/>
      <c r="P7" s="2"/>
      <c r="Q7" s="2"/>
      <c r="R7" s="2"/>
      <c r="S7" s="2"/>
      <c r="T7" s="2"/>
      <c r="U7" s="2"/>
      <c r="V7" s="2"/>
      <c r="W7" s="2"/>
      <c r="X7" s="2"/>
      <c r="Y7" s="2"/>
      <c r="Z7" s="2"/>
      <c r="AA7" s="2"/>
    </row>
    <row r="8" spans="1:27">
      <c r="A8" s="31" t="str">
        <f>'Revenue Model'!E$4</f>
        <v>Aug-26</v>
      </c>
      <c r="B8" s="32">
        <f>'Revenue Model'!E$17</f>
        <v>39288.142874430509</v>
      </c>
      <c r="C8" s="32">
        <f>'Revenue Model'!E$18</f>
        <v>471457.71449316607</v>
      </c>
      <c r="D8" s="32">
        <f>'P&amp;L'!E$8</f>
        <v>37408.081476929321</v>
      </c>
      <c r="E8" s="22"/>
      <c r="F8" s="31" t="str">
        <f>'P&amp;L'!E$4</f>
        <v>Aug-26</v>
      </c>
      <c r="G8" s="32">
        <f>'P&amp;L'!E$8</f>
        <v>37408.081476929321</v>
      </c>
      <c r="H8" s="32">
        <f>COGS!E$11+Opex!E$22</f>
        <v>68147.492924924445</v>
      </c>
      <c r="I8" s="22"/>
      <c r="J8" s="31" t="str">
        <f>'Cash Runway'!E$4</f>
        <v>Aug-26</v>
      </c>
      <c r="K8" s="32">
        <f>'Cash Runway'!E$19</f>
        <v>283101.79523173184</v>
      </c>
      <c r="L8" s="22"/>
      <c r="M8" s="31" t="str">
        <f>'Revenue Model'!E$4</f>
        <v>Aug-26</v>
      </c>
      <c r="N8" s="34">
        <f>'Revenue Model'!E$9</f>
        <v>77.285984499999998</v>
      </c>
      <c r="O8" s="2"/>
      <c r="P8" s="2"/>
      <c r="Q8" s="2"/>
      <c r="R8" s="2"/>
      <c r="S8" s="2"/>
      <c r="T8" s="2"/>
      <c r="U8" s="2"/>
      <c r="V8" s="2"/>
      <c r="W8" s="2"/>
      <c r="X8" s="2"/>
      <c r="Y8" s="2"/>
      <c r="Z8" s="2"/>
      <c r="AA8" s="2"/>
    </row>
    <row r="9" spans="1:27">
      <c r="A9" s="31" t="str">
        <f>'Revenue Model'!F$4</f>
        <v>Sep-26</v>
      </c>
      <c r="B9" s="32">
        <f>'Revenue Model'!F$17</f>
        <v>43186.381206138583</v>
      </c>
      <c r="C9" s="32">
        <f>'Revenue Model'!F$18</f>
        <v>518236.574473663</v>
      </c>
      <c r="D9" s="32">
        <f>'P&amp;L'!F$8</f>
        <v>41237.26204028455</v>
      </c>
      <c r="E9" s="22"/>
      <c r="F9" s="31" t="str">
        <f>'P&amp;L'!F$4</f>
        <v>Sep-26</v>
      </c>
      <c r="G9" s="32">
        <f>'P&amp;L'!F$8</f>
        <v>41237.26204028455</v>
      </c>
      <c r="H9" s="32">
        <f>COGS!F$11+Opex!F$22</f>
        <v>69700.1177988626</v>
      </c>
      <c r="I9" s="22"/>
      <c r="J9" s="31" t="str">
        <f>'Cash Runway'!F$4</f>
        <v>Sep-26</v>
      </c>
      <c r="K9" s="32">
        <f>'Cash Runway'!F$19</f>
        <v>254638.93947315382</v>
      </c>
      <c r="L9" s="22"/>
      <c r="M9" s="31" t="str">
        <f>'Revenue Model'!F$4</f>
        <v>Sep-26</v>
      </c>
      <c r="N9" s="34">
        <f>'Revenue Model'!F$9</f>
        <v>84.691454965000005</v>
      </c>
      <c r="O9" s="2"/>
      <c r="P9" s="2"/>
      <c r="Q9" s="2"/>
      <c r="R9" s="2"/>
      <c r="S9" s="2"/>
      <c r="T9" s="2"/>
      <c r="U9" s="2"/>
      <c r="V9" s="2"/>
      <c r="W9" s="2"/>
      <c r="X9" s="2"/>
      <c r="Y9" s="2"/>
      <c r="Z9" s="2"/>
      <c r="AA9" s="2"/>
    </row>
    <row r="10" spans="1:27">
      <c r="A10" s="31" t="str">
        <f>'Revenue Model'!G$4</f>
        <v>Oct-26</v>
      </c>
      <c r="B10" s="32">
        <f>'Revenue Model'!G$17</f>
        <v>47230.895600054202</v>
      </c>
      <c r="C10" s="32">
        <f>'Revenue Model'!G$18</f>
        <v>566770.7472006504</v>
      </c>
      <c r="D10" s="32">
        <f>'P&amp;L'!G$8</f>
        <v>45208.638403096396</v>
      </c>
      <c r="E10" s="22"/>
      <c r="F10" s="31" t="str">
        <f>'P&amp;L'!G$4</f>
        <v>Oct-26</v>
      </c>
      <c r="G10" s="32">
        <f>'P&amp;L'!G$8</f>
        <v>45208.638403096396</v>
      </c>
      <c r="H10" s="32">
        <f>COGS!G$11+Opex!G$22</f>
        <v>81663.354200181202</v>
      </c>
      <c r="I10" s="22"/>
      <c r="J10" s="31" t="str">
        <f>'Cash Runway'!G$4</f>
        <v>Oct-26</v>
      </c>
      <c r="K10" s="32">
        <f>'Cash Runway'!G$19</f>
        <v>218184.223676069</v>
      </c>
      <c r="L10" s="22"/>
      <c r="M10" s="31" t="str">
        <f>'Revenue Model'!G$4</f>
        <v>Oct-26</v>
      </c>
      <c r="N10" s="34">
        <f>'Revenue Model'!G$9</f>
        <v>92.360963816050017</v>
      </c>
      <c r="O10" s="2"/>
      <c r="P10" s="2"/>
      <c r="Q10" s="2"/>
      <c r="R10" s="2"/>
      <c r="S10" s="2"/>
      <c r="T10" s="2"/>
      <c r="U10" s="2"/>
      <c r="V10" s="2"/>
      <c r="W10" s="2"/>
      <c r="X10" s="2"/>
      <c r="Y10" s="2"/>
      <c r="Z10" s="2"/>
      <c r="AA10" s="2"/>
    </row>
    <row r="11" spans="1:27">
      <c r="A11" s="31" t="str">
        <f>'Revenue Model'!H$4</f>
        <v>Nov-26</v>
      </c>
      <c r="B11" s="32">
        <f>'Revenue Model'!H$17</f>
        <v>51430.223051025343</v>
      </c>
      <c r="C11" s="32">
        <f>'Revenue Model'!H$18</f>
        <v>617162.67661230406</v>
      </c>
      <c r="D11" s="32">
        <f>'P&amp;L'!H$8</f>
        <v>49330.559325539769</v>
      </c>
      <c r="E11" s="22"/>
      <c r="F11" s="31" t="str">
        <f>'P&amp;L'!H$4</f>
        <v>Nov-26</v>
      </c>
      <c r="G11" s="32">
        <f>'P&amp;L'!H$8</f>
        <v>49330.559325539769</v>
      </c>
      <c r="H11" s="32">
        <f>COGS!H$11+Opex!H$22</f>
        <v>83340.443460633745</v>
      </c>
      <c r="I11" s="22"/>
      <c r="J11" s="31" t="str">
        <f>'Cash Runway'!H$4</f>
        <v>Nov-26</v>
      </c>
      <c r="K11" s="32">
        <f>'Cash Runway'!H$19</f>
        <v>184174.33954097505</v>
      </c>
      <c r="L11" s="22"/>
      <c r="M11" s="31" t="str">
        <f>'Revenue Model'!H$4</f>
        <v>Nov-26</v>
      </c>
      <c r="N11" s="34">
        <f>'Revenue Model'!H$9</f>
        <v>100.31090002656852</v>
      </c>
      <c r="O11" s="2"/>
      <c r="P11" s="2"/>
      <c r="Q11" s="2"/>
      <c r="R11" s="2"/>
      <c r="S11" s="2"/>
      <c r="T11" s="2"/>
      <c r="U11" s="2"/>
      <c r="V11" s="2"/>
      <c r="W11" s="2"/>
      <c r="X11" s="2"/>
      <c r="Y11" s="2"/>
      <c r="Z11" s="2"/>
      <c r="AA11" s="2"/>
    </row>
    <row r="12" spans="1:27">
      <c r="A12" s="31" t="str">
        <f>'Revenue Model'!I$4</f>
        <v>Dec-26</v>
      </c>
      <c r="B12" s="32">
        <f>'Revenue Model'!I$17</f>
        <v>55793.296640370179</v>
      </c>
      <c r="C12" s="32">
        <f>'Revenue Model'!I$18</f>
        <v>669519.55968444212</v>
      </c>
      <c r="D12" s="32">
        <f>'P&amp;L'!I$8</f>
        <v>53611.759845697758</v>
      </c>
      <c r="E12" s="22"/>
      <c r="F12" s="31" t="str">
        <f>'P&amp;L'!I$4</f>
        <v>Dec-26</v>
      </c>
      <c r="G12" s="32">
        <f>'P&amp;L'!I$8</f>
        <v>53611.759845697758</v>
      </c>
      <c r="H12" s="32">
        <f>COGS!I$11+Opex!I$22</f>
        <v>93134.781505158651</v>
      </c>
      <c r="I12" s="22"/>
      <c r="J12" s="31" t="str">
        <f>'Cash Runway'!I$4</f>
        <v>Dec-26</v>
      </c>
      <c r="K12" s="32">
        <f>'Cash Runway'!I$19</f>
        <v>144651.31788151414</v>
      </c>
      <c r="L12" s="22"/>
      <c r="M12" s="31" t="str">
        <f>'Revenue Model'!I$4</f>
        <v>Dec-26</v>
      </c>
      <c r="N12" s="34">
        <f>'Revenue Model'!I$9</f>
        <v>108.55837640702147</v>
      </c>
      <c r="O12" s="2"/>
      <c r="P12" s="2"/>
      <c r="Q12" s="2"/>
      <c r="R12" s="2"/>
      <c r="S12" s="2"/>
      <c r="T12" s="2"/>
      <c r="U12" s="2"/>
      <c r="V12" s="2"/>
      <c r="W12" s="2"/>
      <c r="X12" s="2"/>
      <c r="Y12" s="2"/>
      <c r="Z12" s="2"/>
      <c r="AA12" s="2"/>
    </row>
    <row r="13" spans="1:27">
      <c r="A13" s="31" t="str">
        <f>'Revenue Model'!J$4</f>
        <v>Jan-27</v>
      </c>
      <c r="B13" s="32">
        <f>'Revenue Model'!J$17</f>
        <v>60329.466113896902</v>
      </c>
      <c r="C13" s="32">
        <f>'Revenue Model'!J$18</f>
        <v>723953.59336676286</v>
      </c>
      <c r="D13" s="32">
        <f>'P&amp;L'!J$8</f>
        <v>58061.381377133541</v>
      </c>
      <c r="E13" s="22"/>
      <c r="F13" s="31" t="str">
        <f>'P&amp;L'!J$4</f>
        <v>Jan-27</v>
      </c>
      <c r="G13" s="32">
        <f>'P&amp;L'!J$8</f>
        <v>58061.381377133541</v>
      </c>
      <c r="H13" s="32">
        <f>COGS!J$11+Opex!J$22</f>
        <v>94949.926747765581</v>
      </c>
      <c r="I13" s="22"/>
      <c r="J13" s="31" t="str">
        <f>'Cash Runway'!J$4</f>
        <v>Jan-27</v>
      </c>
      <c r="K13" s="32">
        <f>'Cash Runway'!J$19</f>
        <v>107762.7725108821</v>
      </c>
      <c r="L13" s="22"/>
      <c r="M13" s="31" t="str">
        <f>'Revenue Model'!J$4</f>
        <v>Jan-27</v>
      </c>
      <c r="N13" s="34">
        <f>'Revenue Model'!J$9</f>
        <v>117.12126866512334</v>
      </c>
      <c r="O13" s="2"/>
      <c r="P13" s="2"/>
      <c r="Q13" s="2"/>
      <c r="R13" s="2"/>
      <c r="S13" s="2"/>
      <c r="T13" s="2"/>
      <c r="U13" s="2"/>
      <c r="V13" s="2"/>
      <c r="W13" s="2"/>
      <c r="X13" s="2"/>
      <c r="Y13" s="2"/>
      <c r="Z13" s="2"/>
      <c r="AA13" s="2"/>
    </row>
    <row r="14" spans="1:27">
      <c r="A14" s="31" t="str">
        <f>'Revenue Model'!K$4</f>
        <v>Feb-27</v>
      </c>
      <c r="B14" s="32">
        <f>'Revenue Model'!K$17</f>
        <v>65048.519469366038</v>
      </c>
      <c r="C14" s="32">
        <f>'Revenue Model'!K$18</f>
        <v>780582.23363239248</v>
      </c>
      <c r="D14" s="32">
        <f>'P&amp;L'!K$8</f>
        <v>62688.99279163147</v>
      </c>
      <c r="E14" s="22"/>
      <c r="F14" s="31" t="str">
        <f>'P&amp;L'!K$4</f>
        <v>Feb-27</v>
      </c>
      <c r="G14" s="32">
        <f>'P&amp;L'!K$8</f>
        <v>62688.99279163147</v>
      </c>
      <c r="H14" s="32">
        <f>COGS!K$11+Opex!K$22</f>
        <v>102014.60837781808</v>
      </c>
      <c r="I14" s="22"/>
      <c r="J14" s="31" t="str">
        <f>'Cash Runway'!K$4</f>
        <v>Feb-27</v>
      </c>
      <c r="K14" s="32">
        <f>'Cash Runway'!K$19</f>
        <v>68437.156924695504</v>
      </c>
      <c r="L14" s="22"/>
      <c r="M14" s="31" t="str">
        <f>'Revenue Model'!K$4</f>
        <v>Feb-27</v>
      </c>
      <c r="N14" s="34">
        <f>'Revenue Model'!K$9</f>
        <v>126.01825633299777</v>
      </c>
      <c r="O14" s="2"/>
      <c r="P14" s="2"/>
      <c r="Q14" s="2"/>
      <c r="R14" s="2"/>
      <c r="S14" s="2"/>
      <c r="T14" s="2"/>
      <c r="U14" s="2"/>
      <c r="V14" s="2"/>
      <c r="W14" s="2"/>
      <c r="X14" s="2"/>
      <c r="Y14" s="2"/>
      <c r="Z14" s="2"/>
      <c r="AA14" s="2"/>
    </row>
    <row r="15" spans="1:27">
      <c r="A15" s="31" t="str">
        <f>'Revenue Model'!L$4</f>
        <v>Mar-27</v>
      </c>
      <c r="B15" s="32">
        <f>'Revenue Model'!L$17</f>
        <v>69960.705604356801</v>
      </c>
      <c r="C15" s="32">
        <f>'Revenue Model'!L$18</f>
        <v>839528.46725228161</v>
      </c>
      <c r="D15" s="32">
        <f>'P&amp;L'!L$8</f>
        <v>67504.612536861416</v>
      </c>
      <c r="E15" s="22"/>
      <c r="F15" s="31" t="str">
        <f>'P&amp;L'!L$4</f>
        <v>Mar-27</v>
      </c>
      <c r="G15" s="32">
        <f>'P&amp;L'!L$8</f>
        <v>67504.612536861416</v>
      </c>
      <c r="H15" s="32">
        <f>COGS!L$11+Opex!L$22</f>
        <v>103982.73505634101</v>
      </c>
      <c r="I15" s="22"/>
      <c r="J15" s="31" t="str">
        <f>'Cash Runway'!L$4</f>
        <v>Mar-27</v>
      </c>
      <c r="K15" s="32">
        <f>'Cash Runway'!L$19</f>
        <v>31959.034405215905</v>
      </c>
      <c r="L15" s="22"/>
      <c r="M15" s="31" t="str">
        <f>'Revenue Model'!L$4</f>
        <v>Mar-27</v>
      </c>
      <c r="N15" s="34">
        <f>'Revenue Model'!L$9</f>
        <v>135.26886565722737</v>
      </c>
      <c r="O15" s="2"/>
      <c r="P15" s="2"/>
      <c r="Q15" s="2"/>
      <c r="R15" s="2"/>
      <c r="S15" s="2"/>
      <c r="T15" s="2"/>
      <c r="U15" s="2"/>
      <c r="V15" s="2"/>
      <c r="W15" s="2"/>
      <c r="X15" s="2"/>
      <c r="Y15" s="2"/>
      <c r="Z15" s="2"/>
      <c r="AA15" s="2"/>
    </row>
    <row r="16" spans="1:27">
      <c r="A16" s="31" t="str">
        <f>'Revenue Model'!M$4</f>
        <v>Apr-27</v>
      </c>
      <c r="B16" s="32">
        <f>'Revenue Model'!M$17</f>
        <v>75076.758078034822</v>
      </c>
      <c r="C16" s="32">
        <f>'Revenue Model'!M$18</f>
        <v>900921.09693641786</v>
      </c>
      <c r="D16" s="32">
        <f>'P&amp;L'!M$8</f>
        <v>72518.731841195811</v>
      </c>
      <c r="E16" s="22"/>
      <c r="F16" s="31" t="str">
        <f>'P&amp;L'!M$4</f>
        <v>Apr-27</v>
      </c>
      <c r="G16" s="32">
        <f>'P&amp;L'!M$8</f>
        <v>72518.731841195811</v>
      </c>
      <c r="H16" s="32">
        <f>COGS!M$11+Opex!M$22</f>
        <v>121033.40404295945</v>
      </c>
      <c r="I16" s="22"/>
      <c r="J16" s="31" t="str">
        <f>'Cash Runway'!M$4</f>
        <v>Apr-27</v>
      </c>
      <c r="K16" s="32">
        <f>'Cash Runway'!M$19</f>
        <v>-16555.63779654773</v>
      </c>
      <c r="L16" s="22"/>
      <c r="M16" s="31" t="str">
        <f>'Revenue Model'!M$4</f>
        <v>Apr-27</v>
      </c>
      <c r="N16" s="34">
        <f>'Revenue Model'!M$9</f>
        <v>144.89351455244108</v>
      </c>
      <c r="O16" s="2"/>
      <c r="P16" s="2"/>
      <c r="Q16" s="2"/>
      <c r="R16" s="2"/>
      <c r="S16" s="2"/>
      <c r="T16" s="2"/>
      <c r="U16" s="2"/>
      <c r="V16" s="2"/>
      <c r="W16" s="2"/>
      <c r="X16" s="2"/>
      <c r="Y16" s="2"/>
      <c r="Z16" s="2"/>
      <c r="AA16" s="2"/>
    </row>
    <row r="17" spans="1:27">
      <c r="A17" s="31" t="str">
        <f>'Revenue Model'!N$4</f>
        <v>May-27</v>
      </c>
      <c r="B17" s="32">
        <f>'Revenue Model'!N$17</f>
        <v>80407.920042981219</v>
      </c>
      <c r="C17" s="32">
        <f>'Revenue Model'!N$18</f>
        <v>964895.04051577463</v>
      </c>
      <c r="D17" s="32">
        <f>'P&amp;L'!N$8</f>
        <v>77742.33906050802</v>
      </c>
      <c r="E17" s="22"/>
      <c r="F17" s="31" t="str">
        <f>'P&amp;L'!N$4</f>
        <v>May-27</v>
      </c>
      <c r="G17" s="32">
        <f>'P&amp;L'!N$8</f>
        <v>77742.33906050802</v>
      </c>
      <c r="H17" s="32">
        <f>COGS!N$11+Opex!N$22</f>
        <v>109878.66077510375</v>
      </c>
      <c r="I17" s="22"/>
      <c r="J17" s="31" t="str">
        <f>'Cash Runway'!N$4</f>
        <v>May-27</v>
      </c>
      <c r="K17" s="32">
        <f>'Cash Runway'!N$19</f>
        <v>-48691.959511143461</v>
      </c>
      <c r="L17" s="22"/>
      <c r="M17" s="31" t="str">
        <f>'Revenue Model'!N$4</f>
        <v>May-27</v>
      </c>
      <c r="N17" s="34">
        <f>'Revenue Model'!N$9</f>
        <v>154.91355972404489</v>
      </c>
      <c r="O17" s="2"/>
      <c r="P17" s="2"/>
      <c r="Q17" s="2"/>
      <c r="R17" s="2"/>
      <c r="S17" s="2"/>
      <c r="T17" s="2"/>
      <c r="U17" s="2"/>
      <c r="V17" s="2"/>
      <c r="W17" s="2"/>
      <c r="X17" s="2"/>
      <c r="Y17" s="2"/>
      <c r="Z17" s="2"/>
      <c r="AA17" s="2"/>
    </row>
    <row r="18" spans="1:27">
      <c r="A18" s="31" t="str">
        <f>'Revenue Model'!O$4</f>
        <v>Jun-27</v>
      </c>
      <c r="B18" s="32">
        <f>'Revenue Model'!O$17</f>
        <v>85965.970406039647</v>
      </c>
      <c r="C18" s="32">
        <f>'Revenue Model'!O$18</f>
        <v>1031591.6448724758</v>
      </c>
      <c r="D18" s="32">
        <f>'P&amp;L'!O$8</f>
        <v>83186.945224510433</v>
      </c>
      <c r="E18" s="22"/>
      <c r="F18" s="31" t="str">
        <f>'P&amp;L'!O$4</f>
        <v>Jun-27</v>
      </c>
      <c r="G18" s="32">
        <f>'P&amp;L'!O$8</f>
        <v>83186.945224510433</v>
      </c>
      <c r="H18" s="32">
        <f>COGS!O$11+Opex!O$22</f>
        <v>112107.5089221947</v>
      </c>
      <c r="I18" s="22"/>
      <c r="J18" s="31" t="str">
        <f>'Cash Runway'!O$4</f>
        <v>Jun-27</v>
      </c>
      <c r="K18" s="32">
        <f>'Cash Runway'!O$19</f>
        <v>-77612.523208827726</v>
      </c>
      <c r="L18" s="22"/>
      <c r="M18" s="31" t="str">
        <f>'Revenue Model'!O$4</f>
        <v>Jun-27</v>
      </c>
      <c r="N18" s="34">
        <f>'Revenue Model'!O$9</f>
        <v>165.35134607090944</v>
      </c>
      <c r="O18" s="2"/>
      <c r="P18" s="2"/>
      <c r="Q18" s="2"/>
      <c r="R18" s="2"/>
      <c r="S18" s="2"/>
      <c r="T18" s="2"/>
      <c r="U18" s="2"/>
      <c r="V18" s="2"/>
      <c r="W18" s="2"/>
      <c r="X18" s="2"/>
      <c r="Y18" s="2"/>
      <c r="Z18" s="2"/>
      <c r="AA18" s="2"/>
    </row>
    <row r="19" spans="1:27">
      <c r="A19" s="31" t="str">
        <f>'Revenue Model'!P$4</f>
        <v>Jul-27</v>
      </c>
      <c r="B19" s="32">
        <f>'Revenue Model'!P$17</f>
        <v>91763.251280074139</v>
      </c>
      <c r="C19" s="32">
        <f>'Revenue Model'!P$18</f>
        <v>1101159.0153608897</v>
      </c>
      <c r="D19" s="32">
        <f>'P&amp;L'!P$8</f>
        <v>88864.6108430569</v>
      </c>
      <c r="E19" s="22"/>
      <c r="F19" s="31" t="str">
        <f>'P&amp;L'!P$4</f>
        <v>Jul-27</v>
      </c>
      <c r="G19" s="32">
        <f>'P&amp;L'!P$8</f>
        <v>88864.6108430569</v>
      </c>
      <c r="H19" s="32">
        <f>COGS!P$11+Opex!P$22</f>
        <v>114432.42093865508</v>
      </c>
      <c r="I19" s="22"/>
      <c r="J19" s="31" t="str">
        <f>'Cash Runway'!P$4</f>
        <v>Jul-27</v>
      </c>
      <c r="K19" s="32">
        <f>'Cash Runway'!P$19</f>
        <v>-103180.33330442591</v>
      </c>
      <c r="L19" s="22"/>
      <c r="M19" s="31" t="str">
        <f>'Revenue Model'!P$4</f>
        <v>Jul-27</v>
      </c>
      <c r="N19" s="34">
        <f>'Revenue Model'!P$9</f>
        <v>176.23025848429737</v>
      </c>
      <c r="O19" s="2"/>
      <c r="P19" s="2"/>
      <c r="Q19" s="2"/>
      <c r="R19" s="2"/>
      <c r="S19" s="2"/>
      <c r="T19" s="2"/>
      <c r="U19" s="2"/>
      <c r="V19" s="2"/>
      <c r="W19" s="2"/>
      <c r="X19" s="2"/>
      <c r="Y19" s="2"/>
      <c r="Z19" s="2"/>
      <c r="AA19" s="2"/>
    </row>
    <row r="20" spans="1:27">
      <c r="A20" s="31" t="str">
        <f>'Revenue Model'!Q$4</f>
        <v>Aug-27</v>
      </c>
      <c r="B20" s="32">
        <f>'Revenue Model'!Q$17</f>
        <v>97812.696791613969</v>
      </c>
      <c r="C20" s="32">
        <f>'Revenue Model'!Q$18</f>
        <v>1173752.3614993677</v>
      </c>
      <c r="D20" s="32">
        <f>'P&amp;L'!Q$8</f>
        <v>94787.974035844061</v>
      </c>
      <c r="E20" s="22"/>
      <c r="F20" s="31" t="str">
        <f>'P&amp;L'!Q$4</f>
        <v>Aug-27</v>
      </c>
      <c r="G20" s="32">
        <f>'P&amp;L'!Q$8</f>
        <v>94787.974035844061</v>
      </c>
      <c r="H20" s="32">
        <f>COGS!Q$11+Opex!Q$22</f>
        <v>116858.34914078479</v>
      </c>
      <c r="I20" s="22"/>
      <c r="J20" s="31" t="str">
        <f>'Cash Runway'!Q$4</f>
        <v>Aug-27</v>
      </c>
      <c r="K20" s="32">
        <f>'Cash Runway'!Q$19</f>
        <v>-125250.70840936663</v>
      </c>
      <c r="L20" s="22"/>
      <c r="M20" s="31" t="str">
        <f>'Revenue Model'!Q$4</f>
        <v>Aug-27</v>
      </c>
      <c r="N20" s="34">
        <f>'Revenue Model'!Q$9</f>
        <v>187.57477616505938</v>
      </c>
      <c r="O20" s="2"/>
      <c r="P20" s="2"/>
      <c r="Q20" s="2"/>
      <c r="R20" s="2"/>
      <c r="S20" s="2"/>
      <c r="T20" s="2"/>
      <c r="U20" s="2"/>
      <c r="V20" s="2"/>
      <c r="W20" s="2"/>
      <c r="X20" s="2"/>
      <c r="Y20" s="2"/>
      <c r="Z20" s="2"/>
      <c r="AA20" s="2"/>
    </row>
    <row r="21" spans="1:27">
      <c r="A21" s="31" t="str">
        <f>'Revenue Model'!R$4</f>
        <v>Sep-27</v>
      </c>
      <c r="B21" s="32">
        <f>'Revenue Model'!R$17</f>
        <v>104127.86331260027</v>
      </c>
      <c r="C21" s="32">
        <f>'Revenue Model'!R$18</f>
        <v>1249534.3597512031</v>
      </c>
      <c r="D21" s="32">
        <f>'P&amp;L'!R$8</f>
        <v>100970.28005210712</v>
      </c>
      <c r="E21" s="22"/>
      <c r="F21" s="31" t="str">
        <f>'P&amp;L'!R$4</f>
        <v>Sep-27</v>
      </c>
      <c r="G21" s="32">
        <f>'P&amp;L'!R$8</f>
        <v>100970.28005210712</v>
      </c>
      <c r="H21" s="32">
        <f>COGS!R$11+Opex!R$22</f>
        <v>119390.48733378563</v>
      </c>
      <c r="I21" s="22"/>
      <c r="J21" s="31" t="str">
        <f>'Cash Runway'!R$4</f>
        <v>Sep-27</v>
      </c>
      <c r="K21" s="32">
        <f>'Cash Runway'!R$19</f>
        <v>-143670.91569104514</v>
      </c>
      <c r="L21" s="22"/>
      <c r="M21" s="31" t="str">
        <f>'Revenue Model'!R$4</f>
        <v>Sep-27</v>
      </c>
      <c r="N21" s="34">
        <f>'Revenue Model'!R$9</f>
        <v>199.4105295871631</v>
      </c>
      <c r="O21" s="2"/>
      <c r="P21" s="2"/>
      <c r="Q21" s="2"/>
      <c r="R21" s="2"/>
      <c r="S21" s="2"/>
      <c r="T21" s="2"/>
      <c r="U21" s="2"/>
      <c r="V21" s="2"/>
      <c r="W21" s="2"/>
      <c r="X21" s="2"/>
      <c r="Y21" s="2"/>
      <c r="Z21" s="2"/>
      <c r="AA21" s="2"/>
    </row>
    <row r="22" spans="1:27">
      <c r="A22" s="31" t="str">
        <f>'Revenue Model'!S$4</f>
        <v>Oct-27</v>
      </c>
      <c r="B22" s="32">
        <f>'Revenue Model'!S$17</f>
        <v>110722.96118784852</v>
      </c>
      <c r="C22" s="32">
        <f>'Revenue Model'!S$18</f>
        <v>1328675.5342541821</v>
      </c>
      <c r="D22" s="32">
        <f>'P&amp;L'!S$8</f>
        <v>107425.41225022438</v>
      </c>
      <c r="E22" s="22"/>
      <c r="F22" s="31" t="str">
        <f>'P&amp;L'!S$4</f>
        <v>Oct-27</v>
      </c>
      <c r="G22" s="32">
        <f>'P&amp;L'!S$8</f>
        <v>107425.41225022438</v>
      </c>
      <c r="H22" s="32">
        <f>COGS!S$11+Opex!S$22</f>
        <v>122034.28301653333</v>
      </c>
      <c r="I22" s="22"/>
      <c r="J22" s="31" t="str">
        <f>'Cash Runway'!S$4</f>
        <v>Oct-27</v>
      </c>
      <c r="K22" s="32">
        <f>'Cash Runway'!S$19</f>
        <v>-158279.78645735409</v>
      </c>
      <c r="L22" s="22"/>
      <c r="M22" s="31" t="str">
        <f>'Revenue Model'!S$4</f>
        <v>Oct-27</v>
      </c>
      <c r="N22" s="34">
        <f>'Revenue Model'!S$9</f>
        <v>211.76436024195647</v>
      </c>
      <c r="O22" s="2"/>
      <c r="P22" s="2"/>
      <c r="Q22" s="2"/>
      <c r="R22" s="2"/>
      <c r="S22" s="2"/>
      <c r="T22" s="2"/>
      <c r="U22" s="2"/>
      <c r="V22" s="2"/>
      <c r="W22" s="2"/>
      <c r="X22" s="2"/>
      <c r="Y22" s="2"/>
      <c r="Z22" s="2"/>
      <c r="AA22" s="2"/>
    </row>
    <row r="23" spans="1:27">
      <c r="A23" s="31" t="str">
        <f>'Revenue Model'!T$4</f>
        <v>Nov-27</v>
      </c>
      <c r="B23" s="32">
        <f>'Revenue Model'!T$17</f>
        <v>117612.88803341228</v>
      </c>
      <c r="C23" s="32">
        <f>'Revenue Model'!T$18</f>
        <v>1411354.6564009474</v>
      </c>
      <c r="D23" s="32">
        <f>'P&amp;L'!T$8</f>
        <v>114167.92461063041</v>
      </c>
      <c r="E23" s="22"/>
      <c r="F23" s="31" t="str">
        <f>'P&amp;L'!T$4</f>
        <v>Nov-27</v>
      </c>
      <c r="G23" s="32">
        <f>'P&amp;L'!T$8</f>
        <v>114167.92461063041</v>
      </c>
      <c r="H23" s="32">
        <f>COGS!T$11+Opex!T$22</f>
        <v>124795.45019307311</v>
      </c>
      <c r="I23" s="22"/>
      <c r="J23" s="31" t="str">
        <f>'Cash Runway'!T$4</f>
        <v>Nov-27</v>
      </c>
      <c r="K23" s="32">
        <f>'Cash Runway'!T$19</f>
        <v>-168907.31203979679</v>
      </c>
      <c r="L23" s="22"/>
      <c r="M23" s="31" t="str">
        <f>'Revenue Model'!T$4</f>
        <v>Nov-27</v>
      </c>
      <c r="N23" s="34">
        <f>'Revenue Model'!T$9</f>
        <v>224.66438330422645</v>
      </c>
      <c r="O23" s="2"/>
      <c r="P23" s="2"/>
      <c r="Q23" s="2"/>
      <c r="R23" s="2"/>
      <c r="S23" s="2"/>
      <c r="T23" s="2"/>
      <c r="U23" s="2"/>
      <c r="V23" s="2"/>
      <c r="W23" s="2"/>
      <c r="X23" s="2"/>
      <c r="Y23" s="2"/>
      <c r="Z23" s="2"/>
      <c r="AA23" s="2"/>
    </row>
    <row r="24" spans="1:27">
      <c r="A24" s="31" t="str">
        <f>'Revenue Model'!U$4</f>
        <v>Dec-27</v>
      </c>
      <c r="B24" s="32">
        <f>'Revenue Model'!U$17</f>
        <v>124813.26368478204</v>
      </c>
      <c r="C24" s="32">
        <f>'Revenue Model'!U$18</f>
        <v>1497759.1642173845</v>
      </c>
      <c r="D24" s="32">
        <f>'P&amp;L'!U$8</f>
        <v>121213.07585909715</v>
      </c>
      <c r="E24" s="22"/>
      <c r="F24" s="31" t="str">
        <f>'P&amp;L'!U$4</f>
        <v>Dec-27</v>
      </c>
      <c r="G24" s="32">
        <f>'P&amp;L'!U$8</f>
        <v>121213.07585909715</v>
      </c>
      <c r="H24" s="32">
        <f>COGS!U$11+Opex!U$22</f>
        <v>127679.98282126049</v>
      </c>
      <c r="I24" s="22"/>
      <c r="J24" s="31" t="str">
        <f>'Cash Runway'!U$4</f>
        <v>Dec-27</v>
      </c>
      <c r="K24" s="32">
        <f>'Cash Runway'!U$19</f>
        <v>-175374.21900196013</v>
      </c>
      <c r="L24" s="22"/>
      <c r="M24" s="31" t="str">
        <f>'Revenue Model'!U$4</f>
        <v>Dec-27</v>
      </c>
      <c r="N24" s="34">
        <f>'Revenue Model'!U$9</f>
        <v>238.14005336810479</v>
      </c>
      <c r="O24" s="2"/>
      <c r="P24" s="2"/>
      <c r="Q24" s="2"/>
      <c r="R24" s="2"/>
      <c r="S24" s="2"/>
      <c r="T24" s="2"/>
      <c r="U24" s="2"/>
      <c r="V24" s="2"/>
      <c r="W24" s="2"/>
      <c r="X24" s="2"/>
      <c r="Y24" s="2"/>
      <c r="Z24" s="2"/>
      <c r="AA24" s="2"/>
    </row>
    <row r="25" spans="1:27">
      <c r="A25" s="31" t="str">
        <f>'Revenue Model'!V$4</f>
        <v>Jan-28</v>
      </c>
      <c r="B25" s="32">
        <f>'Revenue Model'!V$17</f>
        <v>132340.46687779034</v>
      </c>
      <c r="C25" s="32">
        <f>'Revenue Model'!V$18</f>
        <v>1588085.6025334841</v>
      </c>
      <c r="D25" s="32">
        <f>'P&amp;L'!V$8</f>
        <v>128576.86528128618</v>
      </c>
      <c r="E25" s="22"/>
      <c r="F25" s="31" t="str">
        <f>'P&amp;L'!V$4</f>
        <v>Jan-28</v>
      </c>
      <c r="G25" s="32">
        <f>'P&amp;L'!V$8</f>
        <v>128576.86528128618</v>
      </c>
      <c r="H25" s="32">
        <f>COGS!V$11+Opex!V$22</f>
        <v>130694.1689304889</v>
      </c>
      <c r="I25" s="22"/>
      <c r="J25" s="31" t="str">
        <f>'Cash Runway'!V$4</f>
        <v>Jan-28</v>
      </c>
      <c r="K25" s="32">
        <f>'Cash Runway'!V$19</f>
        <v>-177491.52265116284</v>
      </c>
      <c r="L25" s="22"/>
      <c r="M25" s="31" t="str">
        <f>'Revenue Model'!V$4</f>
        <v>Jan-28</v>
      </c>
      <c r="N25" s="34">
        <f>'Revenue Model'!V$9</f>
        <v>252.22223340821702</v>
      </c>
      <c r="O25" s="2"/>
      <c r="P25" s="2"/>
      <c r="Q25" s="2"/>
      <c r="R25" s="2"/>
      <c r="S25" s="2"/>
      <c r="T25" s="2"/>
      <c r="U25" s="2"/>
      <c r="V25" s="2"/>
      <c r="W25" s="2"/>
      <c r="X25" s="2"/>
      <c r="Y25" s="2"/>
      <c r="Z25" s="2"/>
      <c r="AA25" s="2"/>
    </row>
    <row r="26" spans="1:27">
      <c r="A26" s="31" t="str">
        <f>'Revenue Model'!W$4</f>
        <v>Feb-28</v>
      </c>
      <c r="B26" s="32">
        <f>'Revenue Model'!W$17</f>
        <v>140211.67374922853</v>
      </c>
      <c r="C26" s="32">
        <f>'Revenue Model'!W$18</f>
        <v>1682540.0849907424</v>
      </c>
      <c r="D26" s="32">
        <f>'P&amp;L'!W$8</f>
        <v>136276.07031350944</v>
      </c>
      <c r="E26" s="22"/>
      <c r="F26" s="31" t="str">
        <f>'P&amp;L'!W$4</f>
        <v>Feb-28</v>
      </c>
      <c r="G26" s="32">
        <f>'P&amp;L'!W$8</f>
        <v>136276.07031350944</v>
      </c>
      <c r="H26" s="32">
        <f>COGS!W$11+Opex!W$22</f>
        <v>133844.60544203955</v>
      </c>
      <c r="I26" s="22"/>
      <c r="J26" s="31" t="str">
        <f>'Cash Runway'!W$4</f>
        <v>Feb-28</v>
      </c>
      <c r="K26" s="32">
        <f>'Cash Runway'!W$19</f>
        <v>-175060.05777969296</v>
      </c>
      <c r="L26" s="22"/>
      <c r="M26" s="31" t="str">
        <f>'Revenue Model'!W$4</f>
        <v>Feb-28</v>
      </c>
      <c r="N26" s="34">
        <f>'Revenue Model'!W$9</f>
        <v>266.94326712918365</v>
      </c>
      <c r="O26" s="2"/>
      <c r="P26" s="2"/>
      <c r="Q26" s="2"/>
      <c r="R26" s="2"/>
      <c r="S26" s="2"/>
      <c r="T26" s="2"/>
      <c r="U26" s="2"/>
      <c r="V26" s="2"/>
      <c r="W26" s="2"/>
      <c r="X26" s="2"/>
      <c r="Y26" s="2"/>
      <c r="Z26" s="2"/>
      <c r="AA26" s="2"/>
    </row>
    <row r="27" spans="1:27">
      <c r="A27" s="31" t="str">
        <f>'Revenue Model'!X$4</f>
        <v>Mar-28</v>
      </c>
      <c r="B27" s="32">
        <f>'Revenue Model'!X$17</f>
        <v>148444.89824852077</v>
      </c>
      <c r="C27" s="32">
        <f>'Revenue Model'!X$18</f>
        <v>1781338.7789822491</v>
      </c>
      <c r="D27" s="32">
        <f>'P&amp;L'!X$8</f>
        <v>144328.28599887463</v>
      </c>
      <c r="E27" s="22"/>
      <c r="F27" s="31" t="str">
        <f>'P&amp;L'!X$4</f>
        <v>Mar-28</v>
      </c>
      <c r="G27" s="32">
        <f>'P&amp;L'!X$8</f>
        <v>144328.28599887463</v>
      </c>
      <c r="H27" s="32">
        <f>COGS!X$11+Opex!X$22</f>
        <v>137138.21372726481</v>
      </c>
      <c r="I27" s="22"/>
      <c r="J27" s="31" t="str">
        <f>'Cash Runway'!X$4</f>
        <v>Mar-28</v>
      </c>
      <c r="K27" s="32">
        <f>'Cash Runway'!X$19</f>
        <v>-167869.98550808313</v>
      </c>
      <c r="L27" s="22"/>
      <c r="M27" s="31" t="str">
        <f>'Revenue Model'!X$4</f>
        <v>Mar-28</v>
      </c>
      <c r="N27" s="34">
        <f>'Revenue Model'!X$9</f>
        <v>282.33705487468194</v>
      </c>
      <c r="O27" s="2"/>
      <c r="P27" s="2"/>
      <c r="Q27" s="2"/>
      <c r="R27" s="2"/>
      <c r="S27" s="2"/>
      <c r="T27" s="2"/>
      <c r="U27" s="2"/>
      <c r="V27" s="2"/>
      <c r="W27" s="2"/>
      <c r="X27" s="2"/>
      <c r="Y27" s="2"/>
      <c r="Z27" s="2"/>
      <c r="AA27" s="2"/>
    </row>
    <row r="28" spans="1:27">
      <c r="A28" s="31" t="str">
        <f>'Revenue Model'!Y$4</f>
        <v>Apr-28</v>
      </c>
      <c r="B28" s="32">
        <f>'Revenue Model'!Y$17</f>
        <v>157059.03455636007</v>
      </c>
      <c r="C28" s="32">
        <f>'Revenue Model'!Y$18</f>
        <v>1884708.4146763207</v>
      </c>
      <c r="D28" s="32">
        <f>'P&amp;L'!Y$8</f>
        <v>152751.96640244042</v>
      </c>
      <c r="E28" s="22"/>
      <c r="F28" s="31" t="str">
        <f>'P&amp;L'!Y$4</f>
        <v>Apr-28</v>
      </c>
      <c r="G28" s="32">
        <f>'P&amp;L'!Y$8</f>
        <v>152751.96640244042</v>
      </c>
      <c r="H28" s="32">
        <f>COGS!Y$11+Opex!Y$22</f>
        <v>140582.25594057434</v>
      </c>
      <c r="I28" s="22"/>
      <c r="J28" s="31" t="str">
        <f>'Cash Runway'!Y$4</f>
        <v>Apr-28</v>
      </c>
      <c r="K28" s="32">
        <f>'Cash Runway'!Y$19</f>
        <v>-155700.27504621705</v>
      </c>
      <c r="L28" s="22"/>
      <c r="M28" s="31" t="str">
        <f>'Revenue Model'!Y$4</f>
        <v>Apr-28</v>
      </c>
      <c r="N28" s="34">
        <f>'Revenue Model'!Y$9</f>
        <v>298.43913327578395</v>
      </c>
      <c r="O28" s="2"/>
      <c r="P28" s="2"/>
      <c r="Q28" s="2"/>
      <c r="R28" s="2"/>
      <c r="S28" s="2"/>
      <c r="T28" s="2"/>
      <c r="U28" s="2"/>
      <c r="V28" s="2"/>
      <c r="W28" s="2"/>
      <c r="X28" s="2"/>
      <c r="Y28" s="2"/>
      <c r="Z28" s="2"/>
      <c r="AA28" s="2"/>
    </row>
    <row r="29" spans="1:27">
      <c r="A29" s="22"/>
      <c r="B29" s="22"/>
      <c r="C29" s="22"/>
      <c r="D29" s="22"/>
      <c r="E29" s="22"/>
      <c r="F29" s="22"/>
      <c r="G29" s="22"/>
      <c r="H29" s="22"/>
      <c r="I29" s="22"/>
      <c r="J29" s="22"/>
      <c r="K29" s="22"/>
      <c r="L29" s="22"/>
      <c r="M29" s="22"/>
      <c r="N29" s="22"/>
      <c r="O29" s="2"/>
      <c r="P29" s="2"/>
      <c r="Q29" s="2"/>
      <c r="R29" s="2"/>
      <c r="S29" s="2"/>
      <c r="T29" s="2"/>
      <c r="U29" s="2"/>
      <c r="V29" s="2"/>
      <c r="W29" s="2"/>
      <c r="X29" s="2"/>
      <c r="Y29" s="2"/>
      <c r="Z29" s="2"/>
      <c r="AA29" s="2"/>
    </row>
    <row r="30" spans="1:27">
      <c r="A30" s="22"/>
      <c r="B30" s="22"/>
      <c r="C30" s="22"/>
      <c r="D30" s="22"/>
      <c r="E30" s="22"/>
      <c r="F30" s="22"/>
      <c r="G30" s="22"/>
      <c r="H30" s="22"/>
      <c r="I30" s="22"/>
      <c r="J30" s="22"/>
      <c r="K30" s="22"/>
      <c r="L30" s="22"/>
      <c r="M30" s="22"/>
      <c r="N30" s="22"/>
      <c r="O30" s="2"/>
      <c r="P30" s="2"/>
      <c r="Q30" s="2"/>
      <c r="R30" s="2"/>
      <c r="S30" s="2"/>
      <c r="T30" s="2"/>
      <c r="U30" s="2"/>
      <c r="V30" s="2"/>
      <c r="W30" s="2"/>
      <c r="X30" s="2"/>
      <c r="Y30" s="2"/>
      <c r="Z30" s="2"/>
      <c r="AA30" s="2"/>
    </row>
    <row r="31" spans="1:27">
      <c r="A31" s="22"/>
      <c r="B31" s="22"/>
      <c r="C31" s="22"/>
      <c r="D31" s="22"/>
      <c r="E31" s="22"/>
      <c r="F31" s="22"/>
      <c r="G31" s="22"/>
      <c r="H31" s="22"/>
      <c r="I31" s="22"/>
      <c r="J31" s="22"/>
      <c r="K31" s="22"/>
      <c r="L31" s="22"/>
      <c r="M31" s="22"/>
      <c r="N31" s="22"/>
      <c r="O31" s="2"/>
      <c r="P31" s="2"/>
      <c r="Q31" s="2"/>
      <c r="R31" s="2"/>
      <c r="S31" s="2"/>
      <c r="T31" s="2"/>
      <c r="U31" s="2"/>
      <c r="V31" s="2"/>
      <c r="W31" s="2"/>
      <c r="X31" s="2"/>
      <c r="Y31" s="2"/>
      <c r="Z31" s="2"/>
      <c r="AA31" s="2"/>
    </row>
    <row r="32" spans="1:27">
      <c r="A32" s="22"/>
      <c r="B32" s="22"/>
      <c r="C32" s="22"/>
      <c r="D32" s="22"/>
      <c r="E32" s="22"/>
      <c r="F32" s="22"/>
      <c r="G32" s="22"/>
      <c r="H32" s="22"/>
      <c r="I32" s="22"/>
      <c r="J32" s="22"/>
      <c r="K32" s="22"/>
      <c r="L32" s="22"/>
      <c r="M32" s="22"/>
      <c r="N32" s="22"/>
      <c r="O32" s="2"/>
      <c r="P32" s="2"/>
      <c r="Q32" s="2"/>
      <c r="R32" s="2"/>
      <c r="S32" s="2"/>
      <c r="T32" s="2"/>
      <c r="U32" s="2"/>
      <c r="V32" s="2"/>
      <c r="W32" s="2"/>
      <c r="X32" s="2"/>
      <c r="Y32" s="2"/>
      <c r="Z32" s="2"/>
      <c r="AA32" s="2"/>
    </row>
    <row r="33" spans="1:27">
      <c r="A33" s="22"/>
      <c r="B33" s="22"/>
      <c r="C33" s="22"/>
      <c r="D33" s="22"/>
      <c r="E33" s="22"/>
      <c r="F33" s="22"/>
      <c r="G33" s="22"/>
      <c r="H33" s="22"/>
      <c r="I33" s="22"/>
      <c r="J33" s="22"/>
      <c r="K33" s="22"/>
      <c r="L33" s="22"/>
      <c r="M33" s="22"/>
      <c r="N33" s="22"/>
      <c r="O33" s="2"/>
      <c r="P33" s="2"/>
      <c r="Q33" s="2"/>
      <c r="R33" s="2"/>
      <c r="S33" s="2"/>
      <c r="T33" s="2"/>
      <c r="U33" s="2"/>
      <c r="V33" s="2"/>
      <c r="W33" s="2"/>
      <c r="X33" s="2"/>
      <c r="Y33" s="2"/>
      <c r="Z33" s="2"/>
      <c r="AA33" s="2"/>
    </row>
    <row r="34" spans="1:27">
      <c r="A34" s="22"/>
      <c r="B34" s="22"/>
      <c r="C34" s="22"/>
      <c r="D34" s="22"/>
      <c r="E34" s="22"/>
      <c r="F34" s="22"/>
      <c r="G34" s="22"/>
      <c r="H34" s="22"/>
      <c r="I34" s="22"/>
      <c r="J34" s="22"/>
      <c r="K34" s="22"/>
      <c r="L34" s="22"/>
      <c r="M34" s="22"/>
      <c r="N34" s="22"/>
      <c r="O34" s="2"/>
      <c r="P34" s="2"/>
      <c r="Q34" s="2"/>
      <c r="R34" s="2"/>
      <c r="S34" s="2"/>
      <c r="T34" s="2"/>
      <c r="U34" s="2"/>
      <c r="V34" s="2"/>
      <c r="W34" s="2"/>
      <c r="X34" s="2"/>
      <c r="Y34" s="2"/>
      <c r="Z34" s="2"/>
      <c r="AA34" s="2"/>
    </row>
    <row r="35" spans="1:27">
      <c r="A35" s="22"/>
      <c r="B35" s="22"/>
      <c r="C35" s="22"/>
      <c r="D35" s="22"/>
      <c r="E35" s="22"/>
      <c r="F35" s="22"/>
      <c r="G35" s="22"/>
      <c r="H35" s="22"/>
      <c r="I35" s="22"/>
      <c r="J35" s="22"/>
      <c r="K35" s="22"/>
      <c r="L35" s="22"/>
      <c r="M35" s="22"/>
      <c r="N35" s="22"/>
      <c r="O35" s="2"/>
      <c r="P35" s="2"/>
      <c r="Q35" s="2"/>
      <c r="R35" s="2"/>
      <c r="S35" s="2"/>
      <c r="T35" s="2"/>
      <c r="U35" s="2"/>
      <c r="V35" s="2"/>
      <c r="W35" s="2"/>
      <c r="X35" s="2"/>
      <c r="Y35" s="2"/>
      <c r="Z35" s="2"/>
      <c r="AA35" s="2"/>
    </row>
    <row r="36" spans="1:27">
      <c r="A36" s="22"/>
      <c r="B36" s="22"/>
      <c r="C36" s="22"/>
      <c r="D36" s="22"/>
      <c r="E36" s="22"/>
      <c r="F36" s="22"/>
      <c r="G36" s="22"/>
      <c r="H36" s="22"/>
      <c r="I36" s="22"/>
      <c r="J36" s="22"/>
      <c r="K36" s="22"/>
      <c r="L36" s="22"/>
      <c r="M36" s="22"/>
      <c r="N36" s="22"/>
      <c r="O36" s="2"/>
      <c r="P36" s="2"/>
      <c r="Q36" s="2"/>
      <c r="R36" s="2"/>
      <c r="S36" s="2"/>
      <c r="T36" s="2"/>
      <c r="U36" s="2"/>
      <c r="V36" s="2"/>
      <c r="W36" s="2"/>
      <c r="X36" s="2"/>
      <c r="Y36" s="2"/>
      <c r="Z36" s="2"/>
      <c r="AA36" s="2"/>
    </row>
    <row r="37" spans="1:27">
      <c r="A37" s="22"/>
      <c r="B37" s="22"/>
      <c r="C37" s="22"/>
      <c r="D37" s="22"/>
      <c r="E37" s="22"/>
      <c r="F37" s="22"/>
      <c r="G37" s="22"/>
      <c r="H37" s="22"/>
      <c r="I37" s="22"/>
      <c r="J37" s="22"/>
      <c r="K37" s="22"/>
      <c r="L37" s="22"/>
      <c r="M37" s="22"/>
      <c r="N37" s="22"/>
      <c r="O37" s="2"/>
      <c r="P37" s="2"/>
      <c r="Q37" s="2"/>
      <c r="R37" s="2"/>
      <c r="S37" s="2"/>
      <c r="T37" s="2"/>
      <c r="U37" s="2"/>
      <c r="V37" s="2"/>
      <c r="W37" s="2"/>
      <c r="X37" s="2"/>
      <c r="Y37" s="2"/>
      <c r="Z37" s="2"/>
      <c r="AA37" s="2"/>
    </row>
    <row r="38" spans="1:27">
      <c r="A38" s="22"/>
      <c r="B38" s="22"/>
      <c r="C38" s="22"/>
      <c r="D38" s="22"/>
      <c r="E38" s="22"/>
      <c r="F38" s="22"/>
      <c r="G38" s="22"/>
      <c r="H38" s="22"/>
      <c r="I38" s="22"/>
      <c r="J38" s="22"/>
      <c r="K38" s="22"/>
      <c r="L38" s="22"/>
      <c r="M38" s="22"/>
      <c r="N38" s="22"/>
      <c r="O38" s="2"/>
      <c r="P38" s="2"/>
      <c r="Q38" s="2"/>
      <c r="R38" s="2"/>
      <c r="S38" s="2"/>
      <c r="T38" s="2"/>
      <c r="U38" s="2"/>
      <c r="V38" s="2"/>
      <c r="W38" s="2"/>
      <c r="X38" s="2"/>
      <c r="Y38" s="2"/>
      <c r="Z38" s="2"/>
      <c r="AA38" s="2"/>
    </row>
    <row r="39" spans="1:27">
      <c r="A39" s="22"/>
      <c r="B39" s="22"/>
      <c r="C39" s="22"/>
      <c r="D39" s="22"/>
      <c r="E39" s="22"/>
      <c r="F39" s="22"/>
      <c r="G39" s="22"/>
      <c r="H39" s="22"/>
      <c r="I39" s="22"/>
      <c r="J39" s="22"/>
      <c r="K39" s="22"/>
      <c r="L39" s="22"/>
      <c r="M39" s="22"/>
      <c r="N39" s="22"/>
      <c r="O39" s="2"/>
      <c r="P39" s="2"/>
      <c r="Q39" s="2"/>
      <c r="R39" s="2"/>
      <c r="S39" s="2"/>
      <c r="T39" s="2"/>
      <c r="U39" s="2"/>
      <c r="V39" s="2"/>
      <c r="W39" s="2"/>
      <c r="X39" s="2"/>
      <c r="Y39" s="2"/>
      <c r="Z39" s="2"/>
      <c r="AA39" s="2"/>
    </row>
    <row r="40" spans="1:27">
      <c r="A40" s="22"/>
      <c r="B40" s="22"/>
      <c r="C40" s="22"/>
      <c r="D40" s="22"/>
      <c r="E40" s="22"/>
      <c r="F40" s="22"/>
      <c r="G40" s="22"/>
      <c r="H40" s="22"/>
      <c r="I40" s="22"/>
      <c r="J40" s="22"/>
      <c r="K40" s="22"/>
      <c r="L40" s="22"/>
      <c r="M40" s="22"/>
      <c r="N40" s="22"/>
      <c r="O40" s="2"/>
      <c r="P40" s="2"/>
      <c r="Q40" s="2"/>
      <c r="R40" s="2"/>
      <c r="S40" s="2"/>
      <c r="T40" s="2"/>
      <c r="U40" s="2"/>
      <c r="V40" s="2"/>
      <c r="W40" s="2"/>
      <c r="X40" s="2"/>
      <c r="Y40" s="2"/>
      <c r="Z40" s="2"/>
      <c r="AA40" s="2"/>
    </row>
    <row r="41" spans="1:27">
      <c r="A41" s="22"/>
      <c r="B41" s="22"/>
      <c r="C41" s="22"/>
      <c r="D41" s="22"/>
      <c r="E41" s="22"/>
      <c r="F41" s="22"/>
      <c r="G41" s="22"/>
      <c r="H41" s="22"/>
      <c r="I41" s="22"/>
      <c r="J41" s="22"/>
      <c r="K41" s="22"/>
      <c r="L41" s="22"/>
      <c r="M41" s="22"/>
      <c r="N41" s="22"/>
      <c r="O41" s="2"/>
      <c r="P41" s="2"/>
      <c r="Q41" s="2"/>
      <c r="R41" s="2"/>
      <c r="S41" s="2"/>
      <c r="T41" s="2"/>
      <c r="U41" s="2"/>
      <c r="V41" s="2"/>
      <c r="W41" s="2"/>
      <c r="X41" s="2"/>
      <c r="Y41" s="2"/>
      <c r="Z41" s="2"/>
      <c r="AA41" s="2"/>
    </row>
    <row r="42" spans="1:27">
      <c r="A42" s="22"/>
      <c r="B42" s="22"/>
      <c r="C42" s="22"/>
      <c r="D42" s="22"/>
      <c r="E42" s="22"/>
      <c r="F42" s="22"/>
      <c r="G42" s="22"/>
      <c r="H42" s="22"/>
      <c r="I42" s="22"/>
      <c r="J42" s="22"/>
      <c r="K42" s="22"/>
      <c r="L42" s="22"/>
      <c r="M42" s="22"/>
      <c r="N42" s="22"/>
      <c r="O42" s="2"/>
      <c r="P42" s="2"/>
      <c r="Q42" s="2"/>
      <c r="R42" s="2"/>
      <c r="S42" s="2"/>
      <c r="T42" s="2"/>
      <c r="U42" s="2"/>
      <c r="V42" s="2"/>
      <c r="W42" s="2"/>
      <c r="X42" s="2"/>
      <c r="Y42" s="2"/>
      <c r="Z42" s="2"/>
      <c r="AA42" s="2"/>
    </row>
    <row r="43" spans="1:27">
      <c r="A43" s="22"/>
      <c r="B43" s="22"/>
      <c r="C43" s="22"/>
      <c r="D43" s="22"/>
      <c r="E43" s="22"/>
      <c r="F43" s="22"/>
      <c r="G43" s="22"/>
      <c r="H43" s="22"/>
      <c r="I43" s="22"/>
      <c r="J43" s="22"/>
      <c r="K43" s="22"/>
      <c r="L43" s="22"/>
      <c r="M43" s="22"/>
      <c r="N43" s="22"/>
      <c r="O43" s="2"/>
      <c r="P43" s="2"/>
      <c r="Q43" s="2"/>
      <c r="R43" s="2"/>
      <c r="S43" s="2"/>
      <c r="T43" s="2"/>
      <c r="U43" s="2"/>
      <c r="V43" s="2"/>
      <c r="W43" s="2"/>
      <c r="X43" s="2"/>
      <c r="Y43" s="2"/>
      <c r="Z43" s="2"/>
      <c r="AA43" s="2"/>
    </row>
    <row r="44" spans="1:27">
      <c r="A44" s="22"/>
      <c r="B44" s="22"/>
      <c r="C44" s="22"/>
      <c r="D44" s="22"/>
      <c r="E44" s="22"/>
      <c r="F44" s="22"/>
      <c r="G44" s="22"/>
      <c r="H44" s="22"/>
      <c r="I44" s="22"/>
      <c r="J44" s="22"/>
      <c r="K44" s="22"/>
      <c r="L44" s="22"/>
      <c r="M44" s="22"/>
      <c r="N44" s="22"/>
      <c r="O44" s="2"/>
      <c r="P44" s="2"/>
      <c r="Q44" s="2"/>
      <c r="R44" s="2"/>
      <c r="S44" s="2"/>
      <c r="T44" s="2"/>
      <c r="U44" s="2"/>
      <c r="V44" s="2"/>
      <c r="W44" s="2"/>
      <c r="X44" s="2"/>
      <c r="Y44" s="2"/>
      <c r="Z44" s="2"/>
      <c r="AA44" s="2"/>
    </row>
    <row r="45" spans="1:27">
      <c r="A45" s="22"/>
      <c r="B45" s="22"/>
      <c r="C45" s="22"/>
      <c r="D45" s="22"/>
      <c r="E45" s="22"/>
      <c r="F45" s="22"/>
      <c r="G45" s="22"/>
      <c r="H45" s="22"/>
      <c r="I45" s="22"/>
      <c r="J45" s="22"/>
      <c r="K45" s="22"/>
      <c r="L45" s="22"/>
      <c r="M45" s="22"/>
      <c r="N45" s="22"/>
      <c r="O45" s="2"/>
      <c r="P45" s="2"/>
      <c r="Q45" s="2"/>
      <c r="R45" s="2"/>
      <c r="S45" s="2"/>
      <c r="T45" s="2"/>
      <c r="U45" s="2"/>
      <c r="V45" s="2"/>
      <c r="W45" s="2"/>
      <c r="X45" s="2"/>
      <c r="Y45" s="2"/>
      <c r="Z45" s="2"/>
      <c r="AA45" s="2"/>
    </row>
    <row r="46" spans="1:27">
      <c r="A46" s="22"/>
      <c r="B46" s="22"/>
      <c r="C46" s="22"/>
      <c r="D46" s="22"/>
      <c r="E46" s="22"/>
      <c r="F46" s="22"/>
      <c r="G46" s="22"/>
      <c r="H46" s="22"/>
      <c r="I46" s="22"/>
      <c r="J46" s="22"/>
      <c r="K46" s="22"/>
      <c r="L46" s="22"/>
      <c r="M46" s="22"/>
      <c r="N46" s="22"/>
      <c r="O46" s="2"/>
      <c r="P46" s="2"/>
      <c r="Q46" s="2"/>
      <c r="R46" s="2"/>
      <c r="S46" s="2"/>
      <c r="T46" s="2"/>
      <c r="U46" s="2"/>
      <c r="V46" s="2"/>
      <c r="W46" s="2"/>
      <c r="X46" s="2"/>
      <c r="Y46" s="2"/>
      <c r="Z46" s="2"/>
      <c r="AA46" s="2"/>
    </row>
    <row r="47" spans="1:27">
      <c r="A47" s="22"/>
      <c r="B47" s="22"/>
      <c r="C47" s="22"/>
      <c r="D47" s="22"/>
      <c r="E47" s="22"/>
      <c r="F47" s="22"/>
      <c r="G47" s="22"/>
      <c r="H47" s="22"/>
      <c r="I47" s="22"/>
      <c r="J47" s="22"/>
      <c r="K47" s="22"/>
      <c r="L47" s="22"/>
      <c r="M47" s="22"/>
      <c r="N47" s="22"/>
      <c r="O47" s="2"/>
      <c r="P47" s="2"/>
      <c r="Q47" s="2"/>
      <c r="R47" s="2"/>
      <c r="S47" s="2"/>
      <c r="T47" s="2"/>
      <c r="U47" s="2"/>
      <c r="V47" s="2"/>
      <c r="W47" s="2"/>
      <c r="X47" s="2"/>
      <c r="Y47" s="2"/>
      <c r="Z47" s="2"/>
      <c r="AA47" s="2"/>
    </row>
    <row r="48" spans="1:27">
      <c r="A48" s="22"/>
      <c r="B48" s="22"/>
      <c r="C48" s="22"/>
      <c r="D48" s="22"/>
      <c r="E48" s="22"/>
      <c r="F48" s="22"/>
      <c r="G48" s="22"/>
      <c r="H48" s="22"/>
      <c r="I48" s="22"/>
      <c r="J48" s="22"/>
      <c r="K48" s="22"/>
      <c r="L48" s="22"/>
      <c r="M48" s="22"/>
      <c r="N48" s="22"/>
      <c r="O48" s="2"/>
      <c r="P48" s="2"/>
      <c r="Q48" s="2"/>
      <c r="R48" s="2"/>
      <c r="S48" s="2"/>
      <c r="T48" s="2"/>
      <c r="U48" s="2"/>
      <c r="V48" s="2"/>
      <c r="W48" s="2"/>
      <c r="X48" s="2"/>
      <c r="Y48" s="2"/>
      <c r="Z48" s="2"/>
      <c r="AA48" s="2"/>
    </row>
    <row r="49" spans="1:27">
      <c r="A49" s="22"/>
      <c r="B49" s="22"/>
      <c r="C49" s="22"/>
      <c r="D49" s="22"/>
      <c r="E49" s="22"/>
      <c r="F49" s="22"/>
      <c r="G49" s="22"/>
      <c r="H49" s="22"/>
      <c r="I49" s="22"/>
      <c r="J49" s="22"/>
      <c r="K49" s="22"/>
      <c r="L49" s="22"/>
      <c r="M49" s="22"/>
      <c r="N49" s="22"/>
      <c r="O49" s="2"/>
      <c r="P49" s="2"/>
      <c r="Q49" s="2"/>
      <c r="R49" s="2"/>
      <c r="S49" s="2"/>
      <c r="T49" s="2"/>
      <c r="U49" s="2"/>
      <c r="V49" s="2"/>
      <c r="W49" s="2"/>
      <c r="X49" s="2"/>
      <c r="Y49" s="2"/>
      <c r="Z49" s="2"/>
      <c r="AA49" s="2"/>
    </row>
    <row r="50" spans="1:27">
      <c r="A50" s="22"/>
      <c r="B50" s="22"/>
      <c r="C50" s="22"/>
      <c r="D50" s="22"/>
      <c r="E50" s="22"/>
      <c r="F50" s="22"/>
      <c r="G50" s="22"/>
      <c r="H50" s="22"/>
      <c r="I50" s="22"/>
      <c r="J50" s="22"/>
      <c r="K50" s="22"/>
      <c r="L50" s="22"/>
      <c r="M50" s="22"/>
      <c r="N50" s="22"/>
      <c r="O50" s="2"/>
      <c r="P50" s="2"/>
      <c r="Q50" s="2"/>
      <c r="R50" s="2"/>
      <c r="S50" s="2"/>
      <c r="T50" s="2"/>
      <c r="U50" s="2"/>
      <c r="V50" s="2"/>
      <c r="W50" s="2"/>
      <c r="X50" s="2"/>
      <c r="Y50" s="2"/>
      <c r="Z50" s="2"/>
      <c r="AA50" s="2"/>
    </row>
    <row r="51" spans="1:27">
      <c r="A51" s="22"/>
      <c r="B51" s="22"/>
      <c r="C51" s="22"/>
      <c r="D51" s="22"/>
      <c r="E51" s="22"/>
      <c r="F51" s="22"/>
      <c r="G51" s="22"/>
      <c r="H51" s="22"/>
      <c r="I51" s="22"/>
      <c r="J51" s="22"/>
      <c r="K51" s="22"/>
      <c r="L51" s="22"/>
      <c r="M51" s="22"/>
      <c r="N51" s="22"/>
      <c r="O51" s="2"/>
      <c r="P51" s="2"/>
      <c r="Q51" s="2"/>
      <c r="R51" s="2"/>
      <c r="S51" s="2"/>
      <c r="T51" s="2"/>
      <c r="U51" s="2"/>
      <c r="V51" s="2"/>
      <c r="W51" s="2"/>
      <c r="X51" s="2"/>
      <c r="Y51" s="2"/>
      <c r="Z51" s="2"/>
      <c r="AA51" s="2"/>
    </row>
    <row r="52" spans="1:27">
      <c r="A52" s="22"/>
      <c r="B52" s="22"/>
      <c r="C52" s="22"/>
      <c r="D52" s="22"/>
      <c r="E52" s="22"/>
      <c r="F52" s="22"/>
      <c r="G52" s="22"/>
      <c r="H52" s="22"/>
      <c r="I52" s="22"/>
      <c r="J52" s="22"/>
      <c r="K52" s="22"/>
      <c r="L52" s="22"/>
      <c r="M52" s="22"/>
      <c r="N52" s="22"/>
      <c r="O52" s="2"/>
      <c r="P52" s="2"/>
      <c r="Q52" s="2"/>
      <c r="R52" s="2"/>
      <c r="S52" s="2"/>
      <c r="T52" s="2"/>
      <c r="U52" s="2"/>
      <c r="V52" s="2"/>
      <c r="W52" s="2"/>
      <c r="X52" s="2"/>
      <c r="Y52" s="2"/>
      <c r="Z52" s="2"/>
      <c r="AA52" s="2"/>
    </row>
    <row r="53" spans="1:27">
      <c r="A53" s="22"/>
      <c r="B53" s="22"/>
      <c r="C53" s="22"/>
      <c r="D53" s="22"/>
      <c r="E53" s="22"/>
      <c r="F53" s="22"/>
      <c r="G53" s="22"/>
      <c r="H53" s="22"/>
      <c r="I53" s="22"/>
      <c r="J53" s="22"/>
      <c r="K53" s="22"/>
      <c r="L53" s="22"/>
      <c r="M53" s="22"/>
      <c r="N53" s="22"/>
      <c r="O53" s="2"/>
      <c r="P53" s="2"/>
      <c r="Q53" s="2"/>
      <c r="R53" s="2"/>
      <c r="S53" s="2"/>
      <c r="T53" s="2"/>
      <c r="U53" s="2"/>
      <c r="V53" s="2"/>
      <c r="W53" s="2"/>
      <c r="X53" s="2"/>
      <c r="Y53" s="2"/>
      <c r="Z53" s="2"/>
      <c r="AA53" s="2"/>
    </row>
    <row r="54" spans="1:27">
      <c r="A54" s="22"/>
      <c r="B54" s="22"/>
      <c r="C54" s="22"/>
      <c r="D54" s="22"/>
      <c r="E54" s="22"/>
      <c r="F54" s="22"/>
      <c r="G54" s="22"/>
      <c r="H54" s="22"/>
      <c r="I54" s="22"/>
      <c r="J54" s="22"/>
      <c r="K54" s="22"/>
      <c r="L54" s="22"/>
      <c r="M54" s="22"/>
      <c r="N54" s="22"/>
      <c r="O54" s="2"/>
      <c r="P54" s="2"/>
      <c r="Q54" s="2"/>
      <c r="R54" s="2"/>
      <c r="S54" s="2"/>
      <c r="T54" s="2"/>
      <c r="U54" s="2"/>
      <c r="V54" s="2"/>
      <c r="W54" s="2"/>
      <c r="X54" s="2"/>
      <c r="Y54" s="2"/>
      <c r="Z54" s="2"/>
      <c r="AA54" s="2"/>
    </row>
    <row r="55" spans="1:27">
      <c r="A55" s="22"/>
      <c r="B55" s="22"/>
      <c r="C55" s="22"/>
      <c r="D55" s="22"/>
      <c r="E55" s="22"/>
      <c r="F55" s="22"/>
      <c r="G55" s="22"/>
      <c r="H55" s="22"/>
      <c r="I55" s="22"/>
      <c r="J55" s="22"/>
      <c r="K55" s="22"/>
      <c r="L55" s="22"/>
      <c r="M55" s="22"/>
      <c r="N55" s="22"/>
      <c r="O55" s="2"/>
      <c r="P55" s="2"/>
      <c r="Q55" s="2"/>
      <c r="R55" s="2"/>
      <c r="S55" s="2"/>
      <c r="T55" s="2"/>
      <c r="U55" s="2"/>
      <c r="V55" s="2"/>
      <c r="W55" s="2"/>
      <c r="X55" s="2"/>
      <c r="Y55" s="2"/>
      <c r="Z55" s="2"/>
      <c r="AA55" s="2"/>
    </row>
    <row r="56" spans="1:27">
      <c r="A56" s="22"/>
      <c r="B56" s="22"/>
      <c r="C56" s="22"/>
      <c r="D56" s="22"/>
      <c r="E56" s="22"/>
      <c r="F56" s="22"/>
      <c r="G56" s="22"/>
      <c r="H56" s="22"/>
      <c r="I56" s="22"/>
      <c r="J56" s="22"/>
      <c r="K56" s="22"/>
      <c r="L56" s="22"/>
      <c r="M56" s="22"/>
      <c r="N56" s="22"/>
      <c r="O56" s="2"/>
      <c r="P56" s="2"/>
      <c r="Q56" s="2"/>
      <c r="R56" s="2"/>
      <c r="S56" s="2"/>
      <c r="T56" s="2"/>
      <c r="U56" s="2"/>
      <c r="V56" s="2"/>
      <c r="W56" s="2"/>
      <c r="X56" s="2"/>
      <c r="Y56" s="2"/>
      <c r="Z56" s="2"/>
      <c r="AA56" s="2"/>
    </row>
    <row r="57" spans="1:27">
      <c r="A57" s="22"/>
      <c r="B57" s="22"/>
      <c r="C57" s="22"/>
      <c r="D57" s="22"/>
      <c r="E57" s="22"/>
      <c r="F57" s="22"/>
      <c r="G57" s="22"/>
      <c r="H57" s="22"/>
      <c r="I57" s="22"/>
      <c r="J57" s="22"/>
      <c r="K57" s="22"/>
      <c r="L57" s="22"/>
      <c r="M57" s="22"/>
      <c r="N57" s="22"/>
      <c r="O57" s="2"/>
      <c r="P57" s="2"/>
      <c r="Q57" s="2"/>
      <c r="R57" s="2"/>
      <c r="S57" s="2"/>
      <c r="T57" s="2"/>
      <c r="U57" s="2"/>
      <c r="V57" s="2"/>
      <c r="W57" s="2"/>
      <c r="X57" s="2"/>
      <c r="Y57" s="2"/>
      <c r="Z57" s="2"/>
      <c r="AA57" s="2"/>
    </row>
    <row r="58" spans="1:27">
      <c r="A58" s="22"/>
      <c r="B58" s="22"/>
      <c r="C58" s="22"/>
      <c r="D58" s="22"/>
      <c r="E58" s="22"/>
      <c r="F58" s="22"/>
      <c r="G58" s="22"/>
      <c r="H58" s="22"/>
      <c r="I58" s="22"/>
      <c r="J58" s="22"/>
      <c r="K58" s="22"/>
      <c r="L58" s="22"/>
      <c r="M58" s="22"/>
      <c r="N58" s="22"/>
      <c r="O58" s="2"/>
      <c r="P58" s="2"/>
      <c r="Q58" s="2"/>
      <c r="R58" s="2"/>
      <c r="S58" s="2"/>
      <c r="T58" s="2"/>
      <c r="U58" s="2"/>
      <c r="V58" s="2"/>
      <c r="W58" s="2"/>
      <c r="X58" s="2"/>
      <c r="Y58" s="2"/>
      <c r="Z58" s="2"/>
      <c r="AA58" s="2"/>
    </row>
    <row r="59" spans="1:27">
      <c r="A59" s="22"/>
      <c r="B59" s="22"/>
      <c r="C59" s="22"/>
      <c r="D59" s="22"/>
      <c r="E59" s="22"/>
      <c r="F59" s="22"/>
      <c r="G59" s="22"/>
      <c r="H59" s="22"/>
      <c r="I59" s="22"/>
      <c r="J59" s="22"/>
      <c r="K59" s="22"/>
      <c r="L59" s="22"/>
      <c r="M59" s="22"/>
      <c r="N59" s="22"/>
      <c r="O59" s="2"/>
      <c r="P59" s="2"/>
      <c r="Q59" s="2"/>
      <c r="R59" s="2"/>
      <c r="S59" s="2"/>
      <c r="T59" s="2"/>
      <c r="U59" s="2"/>
      <c r="V59" s="2"/>
      <c r="W59" s="2"/>
      <c r="X59" s="2"/>
      <c r="Y59" s="2"/>
      <c r="Z59" s="2"/>
      <c r="AA59" s="2"/>
    </row>
    <row r="60" spans="1:27">
      <c r="A60" s="22"/>
      <c r="B60" s="22"/>
      <c r="C60" s="22"/>
      <c r="D60" s="22"/>
      <c r="E60" s="22"/>
      <c r="F60" s="22"/>
      <c r="G60" s="22"/>
      <c r="H60" s="22"/>
      <c r="I60" s="22"/>
      <c r="J60" s="22"/>
      <c r="K60" s="22"/>
      <c r="L60" s="22"/>
      <c r="M60" s="22"/>
      <c r="N60" s="22"/>
      <c r="O60" s="2"/>
      <c r="P60" s="2"/>
      <c r="Q60" s="2"/>
      <c r="R60" s="2"/>
      <c r="S60" s="2"/>
      <c r="T60" s="2"/>
      <c r="U60" s="2"/>
      <c r="V60" s="2"/>
      <c r="W60" s="2"/>
      <c r="X60" s="2"/>
      <c r="Y60" s="2"/>
      <c r="Z60" s="2"/>
      <c r="AA60" s="2"/>
    </row>
    <row r="61" spans="1:27">
      <c r="A61" s="22"/>
      <c r="B61" s="22"/>
      <c r="C61" s="22"/>
      <c r="D61" s="22"/>
      <c r="E61" s="22"/>
      <c r="F61" s="22"/>
      <c r="G61" s="22"/>
      <c r="H61" s="22"/>
      <c r="I61" s="22"/>
      <c r="J61" s="22"/>
      <c r="K61" s="22"/>
      <c r="L61" s="22"/>
      <c r="M61" s="22"/>
      <c r="N61" s="22"/>
      <c r="O61" s="2"/>
      <c r="P61" s="2"/>
      <c r="Q61" s="2"/>
      <c r="R61" s="2"/>
      <c r="S61" s="2"/>
      <c r="T61" s="2"/>
      <c r="U61" s="2"/>
      <c r="V61" s="2"/>
      <c r="W61" s="2"/>
      <c r="X61" s="2"/>
      <c r="Y61" s="2"/>
      <c r="Z61" s="2"/>
      <c r="AA61" s="2"/>
    </row>
    <row r="62" spans="1:27">
      <c r="A62" s="22"/>
      <c r="B62" s="22"/>
      <c r="C62" s="22"/>
      <c r="D62" s="22"/>
      <c r="E62" s="22"/>
      <c r="F62" s="22"/>
      <c r="G62" s="22"/>
      <c r="H62" s="22"/>
      <c r="I62" s="22"/>
      <c r="J62" s="22"/>
      <c r="K62" s="22"/>
      <c r="L62" s="22"/>
      <c r="M62" s="22"/>
      <c r="N62" s="22"/>
      <c r="O62" s="2"/>
      <c r="P62" s="2"/>
      <c r="Q62" s="2"/>
      <c r="R62" s="2"/>
      <c r="S62" s="2"/>
      <c r="T62" s="2"/>
      <c r="U62" s="2"/>
      <c r="V62" s="2"/>
      <c r="W62" s="2"/>
      <c r="X62" s="2"/>
      <c r="Y62" s="2"/>
      <c r="Z62" s="2"/>
      <c r="AA62" s="2"/>
    </row>
    <row r="63" spans="1:27">
      <c r="A63" s="22"/>
      <c r="B63" s="22"/>
      <c r="C63" s="22"/>
      <c r="D63" s="22"/>
      <c r="E63" s="22"/>
      <c r="F63" s="22"/>
      <c r="G63" s="22"/>
      <c r="H63" s="22"/>
      <c r="I63" s="22"/>
      <c r="J63" s="22"/>
      <c r="K63" s="22"/>
      <c r="L63" s="22"/>
      <c r="M63" s="22"/>
      <c r="N63" s="22"/>
      <c r="O63" s="2"/>
      <c r="P63" s="2"/>
      <c r="Q63" s="2"/>
      <c r="R63" s="2"/>
      <c r="S63" s="2"/>
      <c r="T63" s="2"/>
      <c r="U63" s="2"/>
      <c r="V63" s="2"/>
      <c r="W63" s="2"/>
      <c r="X63" s="2"/>
      <c r="Y63" s="2"/>
      <c r="Z63" s="2"/>
      <c r="AA63" s="2"/>
    </row>
    <row r="64" spans="1:27">
      <c r="A64" s="22"/>
      <c r="B64" s="22"/>
      <c r="C64" s="22"/>
      <c r="D64" s="22"/>
      <c r="E64" s="22"/>
      <c r="F64" s="22"/>
      <c r="G64" s="22"/>
      <c r="H64" s="22"/>
      <c r="I64" s="22"/>
      <c r="J64" s="22"/>
      <c r="K64" s="22"/>
      <c r="L64" s="22"/>
      <c r="M64" s="22"/>
      <c r="N64" s="22"/>
      <c r="O64" s="2"/>
      <c r="P64" s="2"/>
      <c r="Q64" s="2"/>
      <c r="R64" s="2"/>
      <c r="S64" s="2"/>
      <c r="T64" s="2"/>
      <c r="U64" s="2"/>
      <c r="V64" s="2"/>
      <c r="W64" s="2"/>
      <c r="X64" s="2"/>
      <c r="Y64" s="2"/>
      <c r="Z64" s="2"/>
      <c r="AA64" s="2"/>
    </row>
    <row r="65" spans="1:27">
      <c r="A65" s="22"/>
      <c r="B65" s="22"/>
      <c r="C65" s="22"/>
      <c r="D65" s="22"/>
      <c r="E65" s="22"/>
      <c r="F65" s="22"/>
      <c r="G65" s="22"/>
      <c r="H65" s="22"/>
      <c r="I65" s="22"/>
      <c r="J65" s="22"/>
      <c r="K65" s="22"/>
      <c r="L65" s="22"/>
      <c r="M65" s="22"/>
      <c r="N65" s="22"/>
      <c r="O65" s="2"/>
      <c r="P65" s="2"/>
      <c r="Q65" s="2"/>
      <c r="R65" s="2"/>
      <c r="S65" s="2"/>
      <c r="T65" s="2"/>
      <c r="U65" s="2"/>
      <c r="V65" s="2"/>
      <c r="W65" s="2"/>
      <c r="X65" s="2"/>
      <c r="Y65" s="2"/>
      <c r="Z65" s="2"/>
      <c r="AA65" s="2"/>
    </row>
    <row r="66" spans="1:27">
      <c r="A66" s="22"/>
      <c r="B66" s="22"/>
      <c r="C66" s="22"/>
      <c r="D66" s="22"/>
      <c r="E66" s="22"/>
      <c r="F66" s="22"/>
      <c r="G66" s="22"/>
      <c r="H66" s="22"/>
      <c r="I66" s="22"/>
      <c r="J66" s="22"/>
      <c r="K66" s="22"/>
      <c r="L66" s="22"/>
      <c r="M66" s="22"/>
      <c r="N66" s="22"/>
      <c r="O66" s="2"/>
      <c r="P66" s="2"/>
      <c r="Q66" s="2"/>
      <c r="R66" s="2"/>
      <c r="S66" s="2"/>
      <c r="T66" s="2"/>
      <c r="U66" s="2"/>
      <c r="V66" s="2"/>
      <c r="W66" s="2"/>
      <c r="X66" s="2"/>
      <c r="Y66" s="2"/>
      <c r="Z66" s="2"/>
      <c r="AA66" s="2"/>
    </row>
    <row r="67" spans="1:27">
      <c r="A67" s="22"/>
      <c r="B67" s="22"/>
      <c r="C67" s="22"/>
      <c r="D67" s="22"/>
      <c r="E67" s="22"/>
      <c r="F67" s="22"/>
      <c r="G67" s="22"/>
      <c r="H67" s="22"/>
      <c r="I67" s="22"/>
      <c r="J67" s="22"/>
      <c r="K67" s="22"/>
      <c r="L67" s="22"/>
      <c r="M67" s="22"/>
      <c r="N67" s="22"/>
      <c r="O67" s="2"/>
      <c r="P67" s="2"/>
      <c r="Q67" s="2"/>
      <c r="R67" s="2"/>
      <c r="S67" s="2"/>
      <c r="T67" s="2"/>
      <c r="U67" s="2"/>
      <c r="V67" s="2"/>
      <c r="W67" s="2"/>
      <c r="X67" s="2"/>
      <c r="Y67" s="2"/>
      <c r="Z67" s="2"/>
      <c r="AA67" s="2"/>
    </row>
    <row r="68" spans="1:27">
      <c r="A68" s="22"/>
      <c r="B68" s="22"/>
      <c r="C68" s="22"/>
      <c r="D68" s="22"/>
      <c r="E68" s="22"/>
      <c r="F68" s="22"/>
      <c r="G68" s="22"/>
      <c r="H68" s="22"/>
      <c r="I68" s="22"/>
      <c r="J68" s="22"/>
      <c r="K68" s="22"/>
      <c r="L68" s="22"/>
      <c r="M68" s="22"/>
      <c r="N68" s="22"/>
      <c r="O68" s="2"/>
      <c r="P68" s="2"/>
      <c r="Q68" s="2"/>
      <c r="R68" s="2"/>
      <c r="S68" s="2"/>
      <c r="T68" s="2"/>
      <c r="U68" s="2"/>
      <c r="V68" s="2"/>
      <c r="W68" s="2"/>
      <c r="X68" s="2"/>
      <c r="Y68" s="2"/>
      <c r="Z68" s="2"/>
      <c r="AA68" s="2"/>
    </row>
    <row r="69" spans="1:27">
      <c r="A69" s="22"/>
      <c r="B69" s="22"/>
      <c r="C69" s="22"/>
      <c r="D69" s="22"/>
      <c r="E69" s="22"/>
      <c r="F69" s="22"/>
      <c r="G69" s="22"/>
      <c r="H69" s="22"/>
      <c r="I69" s="22"/>
      <c r="J69" s="22"/>
      <c r="K69" s="22"/>
      <c r="L69" s="22"/>
      <c r="M69" s="22"/>
      <c r="N69" s="22"/>
      <c r="O69" s="2"/>
      <c r="P69" s="2"/>
      <c r="Q69" s="2"/>
      <c r="R69" s="2"/>
      <c r="S69" s="2"/>
      <c r="T69" s="2"/>
      <c r="U69" s="2"/>
      <c r="V69" s="2"/>
      <c r="W69" s="2"/>
      <c r="X69" s="2"/>
      <c r="Y69" s="2"/>
      <c r="Z69" s="2"/>
      <c r="AA69" s="2"/>
    </row>
    <row r="70" spans="1:27">
      <c r="A70" s="22"/>
      <c r="B70" s="22"/>
      <c r="C70" s="22"/>
      <c r="D70" s="22"/>
      <c r="E70" s="22"/>
      <c r="F70" s="22"/>
      <c r="G70" s="22"/>
      <c r="H70" s="22"/>
      <c r="I70" s="22"/>
      <c r="J70" s="22"/>
      <c r="K70" s="22"/>
      <c r="L70" s="22"/>
      <c r="M70" s="22"/>
      <c r="N70" s="22"/>
      <c r="O70" s="2"/>
      <c r="P70" s="2"/>
      <c r="Q70" s="2"/>
      <c r="R70" s="2"/>
      <c r="S70" s="2"/>
      <c r="T70" s="2"/>
      <c r="U70" s="2"/>
      <c r="V70" s="2"/>
      <c r="W70" s="2"/>
      <c r="X70" s="2"/>
      <c r="Y70" s="2"/>
      <c r="Z70" s="2"/>
      <c r="AA70" s="2"/>
    </row>
    <row r="71" spans="1:27">
      <c r="A71" s="22"/>
      <c r="B71" s="22"/>
      <c r="C71" s="22"/>
      <c r="D71" s="22"/>
      <c r="E71" s="22"/>
      <c r="F71" s="22"/>
      <c r="G71" s="22"/>
      <c r="H71" s="22"/>
      <c r="I71" s="22"/>
      <c r="J71" s="22"/>
      <c r="K71" s="22"/>
      <c r="L71" s="22"/>
      <c r="M71" s="22"/>
      <c r="N71" s="22"/>
      <c r="O71" s="2"/>
      <c r="P71" s="2"/>
      <c r="Q71" s="2"/>
      <c r="R71" s="2"/>
      <c r="S71" s="2"/>
      <c r="T71" s="2"/>
      <c r="U71" s="2"/>
      <c r="V71" s="2"/>
      <c r="W71" s="2"/>
      <c r="X71" s="2"/>
      <c r="Y71" s="2"/>
      <c r="Z71" s="2"/>
      <c r="AA71" s="2"/>
    </row>
    <row r="72" spans="1:27">
      <c r="A72" s="22"/>
      <c r="B72" s="22"/>
      <c r="C72" s="22"/>
      <c r="D72" s="22"/>
      <c r="E72" s="22"/>
      <c r="F72" s="22"/>
      <c r="G72" s="22"/>
      <c r="H72" s="22"/>
      <c r="I72" s="22"/>
      <c r="J72" s="22"/>
      <c r="K72" s="22"/>
      <c r="L72" s="22"/>
      <c r="M72" s="22"/>
      <c r="N72" s="22"/>
      <c r="O72" s="2"/>
      <c r="P72" s="2"/>
      <c r="Q72" s="2"/>
      <c r="R72" s="2"/>
      <c r="S72" s="2"/>
      <c r="T72" s="2"/>
      <c r="U72" s="2"/>
      <c r="V72" s="2"/>
      <c r="W72" s="2"/>
      <c r="X72" s="2"/>
      <c r="Y72" s="2"/>
      <c r="Z72" s="2"/>
      <c r="AA72" s="2"/>
    </row>
    <row r="73" spans="1:27">
      <c r="A73" s="22"/>
      <c r="B73" s="22"/>
      <c r="C73" s="22"/>
      <c r="D73" s="22"/>
      <c r="E73" s="22"/>
      <c r="F73" s="22"/>
      <c r="G73" s="22"/>
      <c r="H73" s="22"/>
      <c r="I73" s="22"/>
      <c r="J73" s="22"/>
      <c r="K73" s="22"/>
      <c r="L73" s="22"/>
      <c r="M73" s="22"/>
      <c r="N73" s="22"/>
      <c r="O73" s="2"/>
      <c r="P73" s="2"/>
      <c r="Q73" s="2"/>
      <c r="R73" s="2"/>
      <c r="S73" s="2"/>
      <c r="T73" s="2"/>
      <c r="U73" s="2"/>
      <c r="V73" s="2"/>
      <c r="W73" s="2"/>
      <c r="X73" s="2"/>
      <c r="Y73" s="2"/>
      <c r="Z73" s="2"/>
      <c r="AA73" s="2"/>
    </row>
    <row r="74" spans="1:27">
      <c r="A74" s="22"/>
      <c r="B74" s="22"/>
      <c r="C74" s="22"/>
      <c r="D74" s="22"/>
      <c r="E74" s="22"/>
      <c r="F74" s="22"/>
      <c r="G74" s="22"/>
      <c r="H74" s="22"/>
      <c r="I74" s="22"/>
      <c r="J74" s="22"/>
      <c r="K74" s="22"/>
      <c r="L74" s="22"/>
      <c r="M74" s="22"/>
      <c r="N74" s="22"/>
      <c r="O74" s="2"/>
      <c r="P74" s="2"/>
      <c r="Q74" s="2"/>
      <c r="R74" s="2"/>
      <c r="S74" s="2"/>
      <c r="T74" s="2"/>
      <c r="U74" s="2"/>
      <c r="V74" s="2"/>
      <c r="W74" s="2"/>
      <c r="X74" s="2"/>
      <c r="Y74" s="2"/>
      <c r="Z74" s="2"/>
      <c r="AA74" s="2"/>
    </row>
    <row r="75" spans="1:27">
      <c r="A75" s="22"/>
      <c r="B75" s="22"/>
      <c r="C75" s="22"/>
      <c r="D75" s="22"/>
      <c r="E75" s="22"/>
      <c r="F75" s="22"/>
      <c r="G75" s="22"/>
      <c r="H75" s="22"/>
      <c r="I75" s="22"/>
      <c r="J75" s="22"/>
      <c r="K75" s="22"/>
      <c r="L75" s="22"/>
      <c r="M75" s="22"/>
      <c r="N75" s="22"/>
      <c r="O75" s="2"/>
      <c r="P75" s="2"/>
      <c r="Q75" s="2"/>
      <c r="R75" s="2"/>
      <c r="S75" s="2"/>
      <c r="T75" s="2"/>
      <c r="U75" s="2"/>
      <c r="V75" s="2"/>
      <c r="W75" s="2"/>
      <c r="X75" s="2"/>
      <c r="Y75" s="2"/>
      <c r="Z75" s="2"/>
      <c r="AA75" s="2"/>
    </row>
    <row r="76" spans="1:27">
      <c r="A76" s="22"/>
      <c r="B76" s="22"/>
      <c r="C76" s="22"/>
      <c r="D76" s="22"/>
      <c r="E76" s="22"/>
      <c r="F76" s="22"/>
      <c r="G76" s="22"/>
      <c r="H76" s="22"/>
      <c r="I76" s="22"/>
      <c r="J76" s="22"/>
      <c r="K76" s="22"/>
      <c r="L76" s="22"/>
      <c r="M76" s="22"/>
      <c r="N76" s="22"/>
      <c r="O76" s="2"/>
      <c r="P76" s="2"/>
      <c r="Q76" s="2"/>
      <c r="R76" s="2"/>
      <c r="S76" s="2"/>
      <c r="T76" s="2"/>
      <c r="U76" s="2"/>
      <c r="V76" s="2"/>
      <c r="W76" s="2"/>
      <c r="X76" s="2"/>
      <c r="Y76" s="2"/>
      <c r="Z76" s="2"/>
      <c r="AA76" s="2"/>
    </row>
    <row r="77" spans="1:27">
      <c r="A77" s="22"/>
      <c r="B77" s="22"/>
      <c r="C77" s="22"/>
      <c r="D77" s="22"/>
      <c r="E77" s="22"/>
      <c r="F77" s="22"/>
      <c r="G77" s="22"/>
      <c r="H77" s="22"/>
      <c r="I77" s="22"/>
      <c r="J77" s="22"/>
      <c r="K77" s="22"/>
      <c r="L77" s="22"/>
      <c r="M77" s="22"/>
      <c r="N77" s="22"/>
      <c r="O77" s="2"/>
      <c r="P77" s="2"/>
      <c r="Q77" s="2"/>
      <c r="R77" s="2"/>
      <c r="S77" s="2"/>
      <c r="T77" s="2"/>
      <c r="U77" s="2"/>
      <c r="V77" s="2"/>
      <c r="W77" s="2"/>
      <c r="X77" s="2"/>
      <c r="Y77" s="2"/>
      <c r="Z77" s="2"/>
      <c r="AA77" s="2"/>
    </row>
    <row r="78" spans="1:27">
      <c r="A78" s="22"/>
      <c r="B78" s="22"/>
      <c r="C78" s="22"/>
      <c r="D78" s="22"/>
      <c r="E78" s="22"/>
      <c r="F78" s="22"/>
      <c r="G78" s="22"/>
      <c r="H78" s="22"/>
      <c r="I78" s="22"/>
      <c r="J78" s="22"/>
      <c r="K78" s="22"/>
      <c r="L78" s="22"/>
      <c r="M78" s="22"/>
      <c r="N78" s="22"/>
      <c r="O78" s="2"/>
      <c r="P78" s="2"/>
      <c r="Q78" s="2"/>
      <c r="R78" s="2"/>
      <c r="S78" s="2"/>
      <c r="T78" s="2"/>
      <c r="U78" s="2"/>
      <c r="V78" s="2"/>
      <c r="W78" s="2"/>
      <c r="X78" s="2"/>
      <c r="Y78" s="2"/>
      <c r="Z78" s="2"/>
      <c r="AA78" s="2"/>
    </row>
    <row r="79" spans="1:27">
      <c r="A79" s="22"/>
      <c r="B79" s="22"/>
      <c r="C79" s="22"/>
      <c r="D79" s="22"/>
      <c r="E79" s="22"/>
      <c r="F79" s="22"/>
      <c r="G79" s="22"/>
      <c r="H79" s="22"/>
      <c r="I79" s="22"/>
      <c r="J79" s="22"/>
      <c r="K79" s="22"/>
      <c r="L79" s="22"/>
      <c r="M79" s="22"/>
      <c r="N79" s="22"/>
      <c r="O79" s="2"/>
      <c r="P79" s="2"/>
      <c r="Q79" s="2"/>
      <c r="R79" s="2"/>
      <c r="S79" s="2"/>
      <c r="T79" s="2"/>
      <c r="U79" s="2"/>
      <c r="V79" s="2"/>
      <c r="W79" s="2"/>
      <c r="X79" s="2"/>
      <c r="Y79" s="2"/>
      <c r="Z79" s="2"/>
      <c r="AA79" s="2"/>
    </row>
    <row r="80" spans="1:27">
      <c r="A80" s="22"/>
      <c r="B80" s="22"/>
      <c r="C80" s="22"/>
      <c r="D80" s="22"/>
      <c r="E80" s="22"/>
      <c r="F80" s="22"/>
      <c r="G80" s="22"/>
      <c r="H80" s="22"/>
      <c r="I80" s="22"/>
      <c r="J80" s="22"/>
      <c r="K80" s="22"/>
      <c r="L80" s="22"/>
      <c r="M80" s="22"/>
      <c r="N80" s="22"/>
      <c r="O80" s="2"/>
      <c r="P80" s="2"/>
      <c r="Q80" s="2"/>
      <c r="R80" s="2"/>
      <c r="S80" s="2"/>
      <c r="T80" s="2"/>
      <c r="U80" s="2"/>
      <c r="V80" s="2"/>
      <c r="W80" s="2"/>
      <c r="X80" s="2"/>
      <c r="Y80" s="2"/>
      <c r="Z80" s="2"/>
      <c r="AA80" s="2"/>
    </row>
  </sheetData>
  <mergeCells count="2">
    <mergeCell ref="A2:N2"/>
    <mergeCell ref="A1:N1"/>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80"/>
  <sheetViews>
    <sheetView showGridLines="0" workbookViewId="0">
      <selection activeCell="A4" sqref="A4"/>
    </sheetView>
  </sheetViews>
  <sheetFormatPr defaultRowHeight="13.8"/>
  <cols>
    <col min="1" max="1" width="11.69921875" bestFit="1" customWidth="1"/>
    <col min="2" max="2" width="44.19921875" bestFit="1" customWidth="1"/>
    <col min="3" max="3" width="43.5" bestFit="1" customWidth="1"/>
    <col min="4" max="4" width="43.3984375" bestFit="1" customWidth="1"/>
  </cols>
  <sheetData>
    <row r="1" spans="1:27">
      <c r="A1" s="55" t="s">
        <v>294</v>
      </c>
      <c r="B1" s="56"/>
      <c r="C1" s="56"/>
      <c r="D1" s="56"/>
      <c r="E1" s="2"/>
      <c r="F1" s="2"/>
      <c r="G1" s="2"/>
      <c r="H1" s="2"/>
      <c r="I1" s="2"/>
      <c r="J1" s="2"/>
      <c r="K1" s="2"/>
      <c r="L1" s="2"/>
      <c r="M1" s="2"/>
      <c r="N1" s="2"/>
      <c r="O1" s="2"/>
      <c r="P1" s="2"/>
      <c r="Q1" s="2"/>
      <c r="R1" s="2"/>
      <c r="S1" s="2"/>
      <c r="T1" s="2"/>
      <c r="U1" s="2"/>
      <c r="V1" s="2"/>
      <c r="W1" s="2"/>
      <c r="X1" s="2"/>
      <c r="Y1" s="2"/>
      <c r="Z1" s="2"/>
      <c r="AA1" s="2"/>
    </row>
    <row r="2" spans="1:27">
      <c r="A2" s="2"/>
      <c r="B2" s="2"/>
      <c r="C2" s="2"/>
      <c r="D2" s="2"/>
      <c r="E2" s="2"/>
      <c r="F2" s="2"/>
      <c r="G2" s="2"/>
      <c r="H2" s="2"/>
      <c r="I2" s="2"/>
      <c r="J2" s="2"/>
      <c r="K2" s="2"/>
      <c r="L2" s="2"/>
      <c r="M2" s="2"/>
      <c r="N2" s="2"/>
      <c r="O2" s="2"/>
      <c r="P2" s="2"/>
      <c r="Q2" s="2"/>
      <c r="R2" s="2"/>
      <c r="S2" s="2"/>
      <c r="T2" s="2"/>
      <c r="U2" s="2"/>
      <c r="V2" s="2"/>
      <c r="W2" s="2"/>
      <c r="X2" s="2"/>
      <c r="Y2" s="2"/>
      <c r="Z2" s="2"/>
      <c r="AA2" s="2"/>
    </row>
    <row r="3" spans="1:27">
      <c r="A3" s="24" t="s">
        <v>295</v>
      </c>
      <c r="B3" s="24" t="s">
        <v>296</v>
      </c>
      <c r="C3" s="24" t="s">
        <v>297</v>
      </c>
      <c r="D3" s="24" t="s">
        <v>298</v>
      </c>
      <c r="E3" s="2"/>
      <c r="F3" s="2"/>
      <c r="G3" s="2"/>
      <c r="H3" s="2"/>
      <c r="I3" s="2"/>
      <c r="J3" s="2"/>
      <c r="K3" s="2"/>
      <c r="L3" s="2"/>
      <c r="M3" s="2"/>
      <c r="N3" s="2"/>
      <c r="O3" s="2"/>
      <c r="P3" s="2"/>
      <c r="Q3" s="2"/>
      <c r="R3" s="2"/>
      <c r="S3" s="2"/>
      <c r="T3" s="2"/>
      <c r="U3" s="2"/>
      <c r="V3" s="2"/>
      <c r="W3" s="2"/>
      <c r="X3" s="2"/>
      <c r="Y3" s="2"/>
      <c r="Z3" s="2"/>
      <c r="AA3" s="2"/>
    </row>
    <row r="4" spans="1:27" ht="27.6">
      <c r="A4" s="25" t="s">
        <v>233</v>
      </c>
      <c r="B4" s="25" t="s">
        <v>299</v>
      </c>
      <c r="C4" s="25" t="s">
        <v>300</v>
      </c>
      <c r="D4" s="25" t="s">
        <v>301</v>
      </c>
      <c r="E4" s="2"/>
      <c r="F4" s="2"/>
      <c r="G4" s="2"/>
      <c r="H4" s="2"/>
      <c r="I4" s="2"/>
      <c r="J4" s="2"/>
      <c r="K4" s="2"/>
      <c r="L4" s="2"/>
      <c r="M4" s="2"/>
      <c r="N4" s="2"/>
      <c r="O4" s="2"/>
      <c r="P4" s="2"/>
      <c r="Q4" s="2"/>
      <c r="R4" s="2"/>
      <c r="S4" s="2"/>
      <c r="T4" s="2"/>
      <c r="U4" s="2"/>
      <c r="V4" s="2"/>
      <c r="W4" s="2"/>
      <c r="X4" s="2"/>
      <c r="Y4" s="2"/>
      <c r="Z4" s="2"/>
      <c r="AA4" s="2"/>
    </row>
    <row r="5" spans="1:27" ht="27.6">
      <c r="A5" s="25" t="s">
        <v>263</v>
      </c>
      <c r="B5" s="25" t="s">
        <v>302</v>
      </c>
      <c r="C5" s="25" t="s">
        <v>303</v>
      </c>
      <c r="D5" s="25" t="s">
        <v>304</v>
      </c>
      <c r="E5" s="2"/>
      <c r="F5" s="2"/>
      <c r="G5" s="2"/>
      <c r="H5" s="2"/>
      <c r="I5" s="2"/>
      <c r="J5" s="2"/>
      <c r="K5" s="2"/>
      <c r="L5" s="2"/>
      <c r="M5" s="2"/>
      <c r="N5" s="2"/>
      <c r="O5" s="2"/>
      <c r="P5" s="2"/>
      <c r="Q5" s="2"/>
      <c r="R5" s="2"/>
      <c r="S5" s="2"/>
      <c r="T5" s="2"/>
      <c r="U5" s="2"/>
      <c r="V5" s="2"/>
      <c r="W5" s="2"/>
      <c r="X5" s="2"/>
      <c r="Y5" s="2"/>
      <c r="Z5" s="2"/>
      <c r="AA5" s="2"/>
    </row>
    <row r="6" spans="1:27" ht="27.6">
      <c r="A6" s="25" t="s">
        <v>305</v>
      </c>
      <c r="B6" s="25" t="s">
        <v>306</v>
      </c>
      <c r="C6" s="25" t="s">
        <v>307</v>
      </c>
      <c r="D6" s="25" t="s">
        <v>308</v>
      </c>
      <c r="E6" s="2"/>
      <c r="F6" s="2"/>
      <c r="G6" s="2"/>
      <c r="H6" s="2"/>
      <c r="I6" s="2"/>
      <c r="J6" s="2"/>
      <c r="K6" s="2"/>
      <c r="L6" s="2"/>
      <c r="M6" s="2"/>
      <c r="N6" s="2"/>
      <c r="O6" s="2"/>
      <c r="P6" s="2"/>
      <c r="Q6" s="2"/>
      <c r="R6" s="2"/>
      <c r="S6" s="2"/>
      <c r="T6" s="2"/>
      <c r="U6" s="2"/>
      <c r="V6" s="2"/>
      <c r="W6" s="2"/>
      <c r="X6" s="2"/>
      <c r="Y6" s="2"/>
      <c r="Z6" s="2"/>
      <c r="AA6" s="2"/>
    </row>
    <row r="7" spans="1:27" ht="27.6">
      <c r="A7" s="25" t="s">
        <v>274</v>
      </c>
      <c r="B7" s="25" t="s">
        <v>309</v>
      </c>
      <c r="C7" s="25" t="s">
        <v>310</v>
      </c>
      <c r="D7" s="25" t="s">
        <v>311</v>
      </c>
      <c r="E7" s="2"/>
      <c r="F7" s="2"/>
      <c r="G7" s="2"/>
      <c r="H7" s="2"/>
      <c r="I7" s="2"/>
      <c r="J7" s="2"/>
      <c r="K7" s="2"/>
      <c r="L7" s="2"/>
      <c r="M7" s="2"/>
      <c r="N7" s="2"/>
      <c r="O7" s="2"/>
      <c r="P7" s="2"/>
      <c r="Q7" s="2"/>
      <c r="R7" s="2"/>
      <c r="S7" s="2"/>
      <c r="T7" s="2"/>
      <c r="U7" s="2"/>
      <c r="V7" s="2"/>
      <c r="W7" s="2"/>
      <c r="X7" s="2"/>
      <c r="Y7" s="2"/>
      <c r="Z7" s="2"/>
      <c r="AA7" s="2"/>
    </row>
    <row r="8" spans="1:27" ht="27.6">
      <c r="A8" s="25" t="s">
        <v>312</v>
      </c>
      <c r="B8" s="25" t="s">
        <v>313</v>
      </c>
      <c r="C8" s="25" t="s">
        <v>314</v>
      </c>
      <c r="D8" s="25" t="s">
        <v>315</v>
      </c>
      <c r="E8" s="2"/>
      <c r="F8" s="2"/>
      <c r="G8" s="2"/>
      <c r="H8" s="2"/>
      <c r="I8" s="2"/>
      <c r="J8" s="2"/>
      <c r="K8" s="2"/>
      <c r="L8" s="2"/>
      <c r="M8" s="2"/>
      <c r="N8" s="2"/>
      <c r="O8" s="2"/>
      <c r="P8" s="2"/>
      <c r="Q8" s="2"/>
      <c r="R8" s="2"/>
      <c r="S8" s="2"/>
      <c r="T8" s="2"/>
      <c r="U8" s="2"/>
      <c r="V8" s="2"/>
      <c r="W8" s="2"/>
      <c r="X8" s="2"/>
      <c r="Y8" s="2"/>
      <c r="Z8" s="2"/>
      <c r="AA8" s="2"/>
    </row>
    <row r="9" spans="1:27">
      <c r="A9" s="2"/>
      <c r="B9" s="2"/>
      <c r="C9" s="2"/>
      <c r="D9" s="2"/>
      <c r="E9" s="2"/>
      <c r="F9" s="2"/>
      <c r="G9" s="2"/>
      <c r="H9" s="2"/>
      <c r="I9" s="2"/>
      <c r="J9" s="2"/>
      <c r="K9" s="2"/>
      <c r="L9" s="2"/>
      <c r="M9" s="2"/>
      <c r="N9" s="2"/>
      <c r="O9" s="2"/>
      <c r="P9" s="2"/>
      <c r="Q9" s="2"/>
      <c r="R9" s="2"/>
      <c r="S9" s="2"/>
      <c r="T9" s="2"/>
      <c r="U9" s="2"/>
      <c r="V9" s="2"/>
      <c r="W9" s="2"/>
      <c r="X9" s="2"/>
      <c r="Y9" s="2"/>
      <c r="Z9" s="2"/>
      <c r="AA9" s="2"/>
    </row>
    <row r="10" spans="1:27">
      <c r="A10" s="2"/>
      <c r="B10" s="2"/>
      <c r="C10" s="2"/>
      <c r="D10" s="2"/>
      <c r="E10" s="2"/>
      <c r="F10" s="2"/>
      <c r="G10" s="2"/>
      <c r="H10" s="2"/>
      <c r="I10" s="2"/>
      <c r="J10" s="2"/>
      <c r="K10" s="2"/>
      <c r="L10" s="2"/>
      <c r="M10" s="2"/>
      <c r="N10" s="2"/>
      <c r="O10" s="2"/>
      <c r="P10" s="2"/>
      <c r="Q10" s="2"/>
      <c r="R10" s="2"/>
      <c r="S10" s="2"/>
      <c r="T10" s="2"/>
      <c r="U10" s="2"/>
      <c r="V10" s="2"/>
      <c r="W10" s="2"/>
      <c r="X10" s="2"/>
      <c r="Y10" s="2"/>
      <c r="Z10" s="2"/>
      <c r="AA10" s="2"/>
    </row>
    <row r="11" spans="1:27">
      <c r="A11" s="2"/>
      <c r="B11" s="2"/>
      <c r="C11" s="2"/>
      <c r="D11" s="2"/>
      <c r="E11" s="2"/>
      <c r="F11" s="2"/>
      <c r="G11" s="2"/>
      <c r="H11" s="2"/>
      <c r="I11" s="2"/>
      <c r="J11" s="2"/>
      <c r="K11" s="2"/>
      <c r="L11" s="2"/>
      <c r="M11" s="2"/>
      <c r="N11" s="2"/>
      <c r="O11" s="2"/>
      <c r="P11" s="2"/>
      <c r="Q11" s="2"/>
      <c r="R11" s="2"/>
      <c r="S11" s="2"/>
      <c r="T11" s="2"/>
      <c r="U11" s="2"/>
      <c r="V11" s="2"/>
      <c r="W11" s="2"/>
      <c r="X11" s="2"/>
      <c r="Y11" s="2"/>
      <c r="Z11" s="2"/>
      <c r="AA11" s="2"/>
    </row>
    <row r="12" spans="1:27">
      <c r="A12" s="2"/>
      <c r="B12" s="2"/>
      <c r="C12" s="2"/>
      <c r="D12" s="2"/>
      <c r="E12" s="2"/>
      <c r="F12" s="2"/>
      <c r="G12" s="2"/>
      <c r="H12" s="2"/>
      <c r="I12" s="2"/>
      <c r="J12" s="2"/>
      <c r="K12" s="2"/>
      <c r="L12" s="2"/>
      <c r="M12" s="2"/>
      <c r="N12" s="2"/>
      <c r="O12" s="2"/>
      <c r="P12" s="2"/>
      <c r="Q12" s="2"/>
      <c r="R12" s="2"/>
      <c r="S12" s="2"/>
      <c r="T12" s="2"/>
      <c r="U12" s="2"/>
      <c r="V12" s="2"/>
      <c r="W12" s="2"/>
      <c r="X12" s="2"/>
      <c r="Y12" s="2"/>
      <c r="Z12" s="2"/>
      <c r="AA12" s="2"/>
    </row>
    <row r="13" spans="1:27">
      <c r="A13" s="2"/>
      <c r="B13" s="2"/>
      <c r="C13" s="2"/>
      <c r="D13" s="2"/>
      <c r="E13" s="2"/>
      <c r="F13" s="2"/>
      <c r="G13" s="2"/>
      <c r="H13" s="2"/>
      <c r="I13" s="2"/>
      <c r="J13" s="2"/>
      <c r="K13" s="2"/>
      <c r="L13" s="2"/>
      <c r="M13" s="2"/>
      <c r="N13" s="2"/>
      <c r="O13" s="2"/>
      <c r="P13" s="2"/>
      <c r="Q13" s="2"/>
      <c r="R13" s="2"/>
      <c r="S13" s="2"/>
      <c r="T13" s="2"/>
      <c r="U13" s="2"/>
      <c r="V13" s="2"/>
      <c r="W13" s="2"/>
      <c r="X13" s="2"/>
      <c r="Y13" s="2"/>
      <c r="Z13" s="2"/>
      <c r="AA13" s="2"/>
    </row>
    <row r="14" spans="1:27">
      <c r="A14" s="2"/>
      <c r="B14" s="2"/>
      <c r="C14" s="2"/>
      <c r="D14" s="2"/>
      <c r="E14" s="2"/>
      <c r="F14" s="2"/>
      <c r="G14" s="2"/>
      <c r="H14" s="2"/>
      <c r="I14" s="2"/>
      <c r="J14" s="2"/>
      <c r="K14" s="2"/>
      <c r="L14" s="2"/>
      <c r="M14" s="2"/>
      <c r="N14" s="2"/>
      <c r="O14" s="2"/>
      <c r="P14" s="2"/>
      <c r="Q14" s="2"/>
      <c r="R14" s="2"/>
      <c r="S14" s="2"/>
      <c r="T14" s="2"/>
      <c r="U14" s="2"/>
      <c r="V14" s="2"/>
      <c r="W14" s="2"/>
      <c r="X14" s="2"/>
      <c r="Y14" s="2"/>
      <c r="Z14" s="2"/>
      <c r="AA14" s="2"/>
    </row>
    <row r="15" spans="1:27">
      <c r="A15" s="2"/>
      <c r="B15" s="2"/>
      <c r="C15" s="2"/>
      <c r="D15" s="2"/>
      <c r="E15" s="2"/>
      <c r="F15" s="2"/>
      <c r="G15" s="2"/>
      <c r="H15" s="2"/>
      <c r="I15" s="2"/>
      <c r="J15" s="2"/>
      <c r="K15" s="2"/>
      <c r="L15" s="2"/>
      <c r="M15" s="2"/>
      <c r="N15" s="2"/>
      <c r="O15" s="2"/>
      <c r="P15" s="2"/>
      <c r="Q15" s="2"/>
      <c r="R15" s="2"/>
      <c r="S15" s="2"/>
      <c r="T15" s="2"/>
      <c r="U15" s="2"/>
      <c r="V15" s="2"/>
      <c r="W15" s="2"/>
      <c r="X15" s="2"/>
      <c r="Y15" s="2"/>
      <c r="Z15" s="2"/>
      <c r="AA15" s="2"/>
    </row>
    <row r="16" spans="1:27">
      <c r="A16" s="2"/>
      <c r="B16" s="2"/>
      <c r="C16" s="2"/>
      <c r="D16" s="2"/>
      <c r="E16" s="2"/>
      <c r="F16" s="2"/>
      <c r="G16" s="2"/>
      <c r="H16" s="2"/>
      <c r="I16" s="2"/>
      <c r="J16" s="2"/>
      <c r="K16" s="2"/>
      <c r="L16" s="2"/>
      <c r="M16" s="2"/>
      <c r="N16" s="2"/>
      <c r="O16" s="2"/>
      <c r="P16" s="2"/>
      <c r="Q16" s="2"/>
      <c r="R16" s="2"/>
      <c r="S16" s="2"/>
      <c r="T16" s="2"/>
      <c r="U16" s="2"/>
      <c r="V16" s="2"/>
      <c r="W16" s="2"/>
      <c r="X16" s="2"/>
      <c r="Y16" s="2"/>
      <c r="Z16" s="2"/>
      <c r="AA16" s="2"/>
    </row>
    <row r="17" spans="1:27">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spans="1:27">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spans="1:27">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spans="1:27">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spans="1:27">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spans="1:27">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spans="1:27">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spans="1:27">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spans="1:27">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spans="1:27">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spans="1: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spans="1:27">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spans="1:27">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spans="1:27">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spans="1:27">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spans="1:27">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spans="1:27">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spans="1:27">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spans="1:27">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c r="A80" s="2"/>
      <c r="B80" s="2"/>
      <c r="C80" s="2"/>
      <c r="D80" s="2"/>
      <c r="E80" s="2"/>
      <c r="F80" s="2"/>
      <c r="G80" s="2"/>
      <c r="H80" s="2"/>
      <c r="I80" s="2"/>
      <c r="J80" s="2"/>
      <c r="K80" s="2"/>
      <c r="L80" s="2"/>
      <c r="M80" s="2"/>
      <c r="N80" s="2"/>
      <c r="O80" s="2"/>
      <c r="P80" s="2"/>
      <c r="Q80" s="2"/>
      <c r="R80" s="2"/>
      <c r="S80" s="2"/>
      <c r="T80" s="2"/>
      <c r="U80" s="2"/>
      <c r="V80" s="2"/>
      <c r="W80" s="2"/>
      <c r="X80" s="2"/>
      <c r="Y80" s="2"/>
      <c r="Z80" s="2"/>
      <c r="AA80" s="2"/>
    </row>
  </sheetData>
  <mergeCells count="1">
    <mergeCell ref="A1:D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EC5E2-369F-44C6-AEF0-0CB06E444D9B}">
  <sheetPr>
    <tabColor rgb="FF1D4E89"/>
  </sheetPr>
  <dimension ref="A1:B65"/>
  <sheetViews>
    <sheetView showGridLines="0" workbookViewId="0">
      <selection activeCell="B6" sqref="B6"/>
    </sheetView>
  </sheetViews>
  <sheetFormatPr defaultRowHeight="13.8"/>
  <cols>
    <col min="1" max="1" width="19.19921875" customWidth="1"/>
    <col min="2" max="2" width="155.296875" bestFit="1" customWidth="1"/>
  </cols>
  <sheetData>
    <row r="1" spans="1:2" ht="21.6" thickBot="1">
      <c r="A1" s="38" t="s">
        <v>317</v>
      </c>
      <c r="B1" s="39"/>
    </row>
    <row r="2" spans="1:2" ht="15" thickTop="1">
      <c r="A2" s="40" t="s">
        <v>318</v>
      </c>
      <c r="B2" s="41"/>
    </row>
    <row r="3" spans="1:2" ht="14.4">
      <c r="A3" s="37"/>
      <c r="B3" s="35"/>
    </row>
    <row r="4" spans="1:2" ht="16.2" thickBot="1">
      <c r="A4" s="42" t="s">
        <v>319</v>
      </c>
      <c r="B4" s="43"/>
    </row>
    <row r="5" spans="1:2" ht="14.4">
      <c r="A5" s="44" t="s">
        <v>272</v>
      </c>
      <c r="B5" s="53" t="str">
        <f>"ARR grows from "&amp;TEXT('Revenue Model'!B18,"$#,##0")&amp;" to "&amp;TEXT('Revenue Model'!Y18,"$#,##0")&amp;", with ending MRR of "&amp;TEXT('Revenue Model'!Y17,"$#,##0")&amp;" and "&amp;TEXT('Revenue Model'!Y9,"0.0")&amp;" ending customers. Growth is strong, but it relies on sustained new customer additions and controlled churn."</f>
        <v>ARR grows from $340,695 to $1,884,708, with ending MRR of $157,059 and 298.4 ending customers. Growth is strong, but it relies on sustained new customer additions and controlled churn.</v>
      </c>
    </row>
    <row r="6" spans="1:2" ht="14.4">
      <c r="A6" s="44" t="s">
        <v>235</v>
      </c>
      <c r="B6" s="53" t="str">
        <f>"EBITDA improves from "&amp;TEXT('P&amp;L'!B22,"$#,##0;($#,##0)")&amp;" to "&amp;TEXT('P&amp;L'!Y22,"$#,##0;($#,##0)")&amp;", and EBITDA margin ends at "&amp;TEXT('P&amp;L'!Y23,"0.0%")&amp;". The business moves toward profitability, but scale arrives after a meaningful cash drawdown."</f>
        <v>EBITDA improves from ($30,802) to $12,170, and EBITDA margin ends at 8.0%. The business moves toward profitability, but scale arrives after a meaningful cash drawdown.</v>
      </c>
    </row>
    <row r="7" spans="1:2" ht="14.4">
      <c r="A7" s="44" t="s">
        <v>320</v>
      </c>
      <c r="B7" s="53" t="str">
        <f>"Starting cash is "&amp;TEXT('Cash Runway'!B6,"$#,##0")&amp;" and ending cash is "&amp;TEXT('Cash Runway'!Y19,"$#,##0;($#,##0)")&amp;". Maximum modeled funding need is "&amp;TEXT(MAX('Cash Runway'!B21:Y21),"$#,##0")&amp;", so financing is the clearest board-level issue."</f>
        <v>Starting cash is $400,000 and ending cash is ($155,700). Maximum modeled funding need is $252,492, so financing is the clearest board-level issue.</v>
      </c>
    </row>
    <row r="8" spans="1:2" ht="14.4">
      <c r="A8" s="44" t="s">
        <v>321</v>
      </c>
      <c r="B8" s="53" t="str">
        <f>"Gross margin is "&amp;TEXT('P&amp;L'!Y13,"0.0%")&amp;", NRR is "&amp;TEXT('Revenue Model'!Y28,"0.0%")&amp;", and LTV:CAC is "&amp;TEXT('SaaS KPI Dashboard'!G10,"0.0x")&amp;". Margins and unit economics look good, but NRR below 100% means expansion is not fully offsetting churn."</f>
        <v>Gross margin is 78.0%, NRR is 97.5%, and LTV:CAC is 10.8x. Margins and unit economics look good, but NRR below 100% means expansion is not fully offsetting churn.</v>
      </c>
    </row>
    <row r="9" spans="1:2" ht="14.4">
      <c r="A9" s="44"/>
      <c r="B9" s="35"/>
    </row>
    <row r="10" spans="1:2" ht="16.2" thickBot="1">
      <c r="A10" s="46" t="s">
        <v>322</v>
      </c>
      <c r="B10" s="43"/>
    </row>
    <row r="11" spans="1:2" ht="14.4">
      <c r="A11" s="44" t="s">
        <v>323</v>
      </c>
      <c r="B11" s="35" t="str">
        <f>"MRR increases from "&amp;TEXT('Revenue Model'!B17,"$#,##0")&amp;" to "&amp;TEXT('Revenue Model'!Y17,"$#,##0")&amp;"; ARR increases from "&amp;TEXT('Revenue Model'!B18,"$#,##0")&amp;" to "&amp;TEXT('Revenue Model'!Y18,"$#,##0")&amp;". This is healthy recurring revenue growth."</f>
        <v>MRR increases from $28,391 to $157,059; ARR increases from $340,695 to $1,884,708. This is healthy recurring revenue growth.</v>
      </c>
    </row>
    <row r="12" spans="1:2" ht="14.4">
      <c r="A12" s="44" t="s">
        <v>324</v>
      </c>
      <c r="B12" s="35" t="str">
        <f>"Ending customers grow from "&amp;TEXT('Revenue Model'!B9,"0.0")&amp;" to "&amp;TEXT('Revenue Model'!Y9,"0.0")&amp;". The model assumes customer growth scales materially over the 24-month period."</f>
        <v>Ending customers grow from 56.5 to 298.4. The model assumes customer growth scales materially over the 24-month period.</v>
      </c>
    </row>
    <row r="13" spans="1:2" ht="14.4">
      <c r="A13" s="44" t="s">
        <v>325</v>
      </c>
      <c r="B13" s="35" t="str">
        <f>"New customers grow from "&amp;TEXT('Revenue Model'!B7,"0.0")&amp;" to "&amp;TEXT('Revenue Model'!Y7,"0.0")&amp;" per month, driven by "&amp;TEXT(Assumptions!$C$17,"0.0%")&amp;" monthly new-customer growth. This is achievable only if GTM capacity and CAC efficiency hold."</f>
        <v>New customers grow from 8.0 to 24.6 per month, driven by 5.0% monthly new-customer growth. This is achievable only if GTM capacity and CAC efficiency hold.</v>
      </c>
    </row>
    <row r="14" spans="1:2" ht="14.4">
      <c r="A14" s="44" t="s">
        <v>326</v>
      </c>
      <c r="B14" s="35" t="str">
        <f>"Customer churn is "&amp;TEXT('Revenue Model'!Y24,"0.0%")&amp;" monthly. Churned customers rise from "&amp;TEXT('Revenue Model'!B8,"0.0")&amp;" to "&amp;TEXT('Revenue Model'!Y8,"0.0")&amp;" as the base grows, which creates a rising retention burden."</f>
        <v>Customer churn is 3.0% monthly. Churned customers rise from 1.5 to 8.5 as the base grows, which creates a rising retention burden.</v>
      </c>
    </row>
    <row r="15" spans="1:2" ht="14.4">
      <c r="A15" s="44" t="s">
        <v>327</v>
      </c>
      <c r="B15" s="35" t="str">
        <f>"NRR ends at "&amp;TEXT('Revenue Model'!Y28,"0.0%")&amp;" with monthly expansion / price uplift of "&amp;TEXT(Assumptions!$C$19,"0.0%")&amp;". The growth is good, but net retention should move above 100% for a healthier SaaS profile."</f>
        <v>NRR ends at 97.5% with monthly expansion / price uplift of 0.5%. The growth is good, but net retention should move above 100% for a healthier SaaS profile.</v>
      </c>
    </row>
    <row r="16" spans="1:2" ht="14.4">
      <c r="A16" s="44"/>
      <c r="B16" s="35"/>
    </row>
    <row r="17" spans="1:2" ht="16.2" thickBot="1">
      <c r="A17" s="46" t="s">
        <v>328</v>
      </c>
      <c r="B17" s="43"/>
    </row>
    <row r="18" spans="1:2" ht="14.4">
      <c r="A18" s="44" t="s">
        <v>329</v>
      </c>
      <c r="B18" s="35" t="str">
        <f>"Gross margin stays at "&amp;TEXT('P&amp;L'!Y13,"0.0%")&amp;" and ties to the target of "&amp;TEXT(Assumptions!$C$23,"0.0%")&amp;". This is a strong SaaS margin profile."</f>
        <v>Gross margin stays at 78.0% and ties to the target of 78.0%. This is a strong SaaS margin profile.</v>
      </c>
    </row>
    <row r="19" spans="1:2" ht="14.4">
      <c r="A19" s="44" t="s">
        <v>236</v>
      </c>
      <c r="B19" s="35" t="str">
        <f>"EBITDA moves from "&amp;TEXT('P&amp;L'!B22,"$#,##0;($#,##0)")&amp;" to "&amp;TEXT('P&amp;L'!Y22,"$#,##0;($#,##0)")&amp;". The model moves toward profitability, but the company remains loss-making for much of the plan."</f>
        <v>EBITDA moves from ($30,802) to $12,170. The model moves toward profitability, but the company remains loss-making for much of the plan.</v>
      </c>
    </row>
    <row r="20" spans="1:2" ht="14.4">
      <c r="A20" s="44" t="s">
        <v>330</v>
      </c>
      <c r="B20" s="35" t="str">
        <f>"Total opex grows from "&amp;TEXT('P&amp;L'!B19,"$#,##0")&amp;" to "&amp;TEXT('P&amp;L'!Y19,"$#,##0")&amp;" per month. Opex is the main driver of burn until revenue scale catches up."</f>
        <v>Total opex grows from $51,625 to $106,977 per month. Opex is the main driver of burn until revenue scale catches up.</v>
      </c>
    </row>
    <row r="21" spans="1:2" ht="14.4">
      <c r="A21" s="44" t="s">
        <v>331</v>
      </c>
      <c r="B21" s="35" t="str">
        <f>"Final-month opex mix is S&amp;M "&amp;TEXT('P&amp;L'!Y16,"$#,##0")&amp;", R&amp;D "&amp;TEXT('P&amp;L'!Y17,"$#,##0")&amp;", and G&amp;A "&amp;TEXT('P&amp;L'!Y18,"$#,##0")&amp;". Sales &amp; Marketing is the largest cost area and should be tied to CAC payback and pipeline quality."</f>
        <v>Final-month opex mix is S&amp;M $51,763, R&amp;D $34,641, and G&amp;A $20,572. Sales &amp; Marketing is the largest cost area and should be tied to CAC payback and pipeline quality.</v>
      </c>
    </row>
    <row r="22" spans="1:2" ht="14.4">
      <c r="A22" s="44" t="s">
        <v>332</v>
      </c>
      <c r="B22" s="35" t="str">
        <f>"G&amp;A includes a one-time legal/compliance spend of "&amp;TEXT(Assumptions!$C$40,"$#,##0")&amp;" in month "&amp;Assumptions!$C$39&amp;". Board review should separate one-time costs from structural burn."</f>
        <v>G&amp;A includes a one-time legal/compliance spend of $15,000 in month 12. Board review should separate one-time costs from structural burn.</v>
      </c>
    </row>
    <row r="23" spans="1:2" ht="14.4">
      <c r="A23" s="44"/>
      <c r="B23" s="35"/>
    </row>
    <row r="24" spans="1:2" ht="16.2" thickBot="1">
      <c r="A24" s="46" t="s">
        <v>333</v>
      </c>
      <c r="B24" s="43"/>
    </row>
    <row r="25" spans="1:2" ht="14.4">
      <c r="A25" s="44" t="s">
        <v>334</v>
      </c>
      <c r="B25" s="35" t="str">
        <f>"Cash starts at "&amp;TEXT('Cash Runway'!B6,"$#,##0")&amp;" and ends at "&amp;TEXT('Cash Runway'!Y19,"$#,##0;($#,##0)")&amp;". The ending balance is negative without new funding."</f>
        <v>Cash starts at $400,000 and ends at ($155,700). The ending balance is negative without new funding.</v>
      </c>
    </row>
    <row r="26" spans="1:2" ht="14.4">
      <c r="A26" s="44" t="s">
        <v>335</v>
      </c>
      <c r="B26" s="35" t="str">
        <f>"Net burn starts at "&amp;TEXT('Cash Runway'!B18,"$#,##0")&amp;" and peaks at "&amp;TEXT(MAX('Cash Runway'!B18:Y18),"$#,##0")&amp;". Burn improves later as revenue scales."</f>
        <v>Net burn starts at $30,802 and peaks at $48,515. Burn improves later as revenue scales.</v>
      </c>
    </row>
    <row r="27" spans="1:2" ht="14.4">
      <c r="A27" s="44" t="s">
        <v>336</v>
      </c>
      <c r="B27" s="35" t="str" cm="1">
        <f t="array" ref="B27">"Cash falls below the "&amp;TEXT(Assumptions!$C$9,"$#,##0")&amp;" minimum threshold in "&amp;INDEX('Cash Runway'!B$4:Y$4,MATCH("Below Minimum",'Cash Runway'!B22:Y22,0))&amp;" and turns negative in "&amp;INDEX('Cash Runway'!B$4:Y$4,MATCH(TRUE,'Cash Runway'!B19:Y19&lt;0,0))&amp;". Funding should be addressed before that window."</f>
        <v>Cash falls below the $75,000 minimum threshold in Feb-27 and turns negative in Apr-27. Funding should be addressed before that window.</v>
      </c>
    </row>
    <row r="28" spans="1:2" ht="14.4">
      <c r="A28" s="44" t="s">
        <v>337</v>
      </c>
      <c r="B28" s="35" t="str">
        <f>"Maximum funding need to maintain minimum cash is "&amp;TEXT(MAX('Cash Runway'!B21:Y21),"$#,##0")&amp;". Management should raise more than the modeled shortfall to allow execution buffer."</f>
        <v>Maximum funding need to maintain minimum cash is $252,492. Management should raise more than the modeled shortfall to allow execution buffer.</v>
      </c>
    </row>
    <row r="29" spans="1:2" ht="14.4">
      <c r="A29" s="44"/>
      <c r="B29" s="35"/>
    </row>
    <row r="30" spans="1:2" ht="16.2" thickBot="1">
      <c r="A30" s="46" t="s">
        <v>338</v>
      </c>
      <c r="B30" s="43"/>
    </row>
    <row r="31" spans="1:2" ht="14.4">
      <c r="A31" s="44" t="s">
        <v>323</v>
      </c>
      <c r="B31" s="35" t="str">
        <f>"Ending MRR is "&amp;TEXT('SaaS KPI Dashboard'!D5,"$#,##0")&amp;" and ending ARR is "&amp;TEXT('SaaS KPI Dashboard'!A5,"$#,##0")&amp;". This shows a scaled recurring revenue base by the end of the plan."</f>
        <v>Ending MRR is $157,059 and ending ARR is $1,884,708. This shows a scaled recurring revenue base by the end of the plan.</v>
      </c>
    </row>
    <row r="32" spans="1:2" ht="14.4">
      <c r="A32" s="44" t="s">
        <v>329</v>
      </c>
      <c r="B32" s="35" t="str">
        <f>"Gross margin is "&amp;TEXT('SaaS KPI Dashboard'!A10,"0.0%")&amp;". This supports attractive SaaS economics if COGS scale stays disciplined."</f>
        <v>Gross margin is 78.0%. This supports attractive SaaS economics if COGS scale stays disciplined.</v>
      </c>
    </row>
    <row r="33" spans="1:2" ht="14.4">
      <c r="A33" s="44" t="s">
        <v>339</v>
      </c>
      <c r="B33" s="35" t="str">
        <f>"Monthly churn is "&amp;TEXT('Revenue Model'!Y24,"0.0%")&amp;" and NRR is "&amp;TEXT('Revenue Model'!Y28,"0.0%")&amp;". Retention is the key SaaS health risk because NRR is below 100%."</f>
        <v>Monthly churn is 3.0% and NRR is 97.5%. Retention is the key SaaS health risk because NRR is below 100%.</v>
      </c>
    </row>
    <row r="34" spans="1:2" ht="14.4">
      <c r="A34" s="44" t="s">
        <v>340</v>
      </c>
      <c r="B34" s="35" t="str">
        <f>"CAC payback is approximately "&amp;TEXT(Assumptions!$C$35/(Assumptions!$C$14*'P&amp;L'!Y13),"0.0")&amp;" months using CAC per customer and gross profit per customer. This is attractive if CAC includes the full sales effort."</f>
        <v>CAC payback is approximately 3.1 months using CAC per customer and gross profit per customer. This is attractive if CAC includes the full sales effort.</v>
      </c>
    </row>
    <row r="35" spans="1:2" ht="14.4">
      <c r="A35" s="44" t="s">
        <v>265</v>
      </c>
      <c r="B35" s="35" t="str">
        <f>"LTV:CAC is "&amp;TEXT('SaaS KPI Dashboard'!G10,"0.0x")&amp;". Unit economics look strong, but the board should confirm CAC is fully loaded."</f>
        <v>LTV:CAC is 10.8x. Unit economics look strong, but the board should confirm CAC is fully loaded.</v>
      </c>
    </row>
    <row r="36" spans="1:2" ht="14.4">
      <c r="A36" s="44" t="s">
        <v>341</v>
      </c>
      <c r="B36" s="35" t="str">
        <f>IF('Cash Runway'!Y18&lt;=0,"Final month is cash-generative, so current burn multiple is not meaningful. The board should instead focus on bridging the cash trough.","Final burn multiple is "&amp;TEXT('Cash Runway'!Y18/('Revenue Model'!Y26*12),"0.0x"))</f>
        <v>Final month is cash-generative, so current burn multiple is not meaningful. The board should instead focus on bridging the cash trough.</v>
      </c>
    </row>
    <row r="37" spans="1:2" ht="14.4">
      <c r="A37" s="44" t="s">
        <v>342</v>
      </c>
      <c r="B37" s="35" t="str">
        <f>"Forecast Rule of 40 is approximately "&amp;TEXT(('Revenue Model'!Y18/'Revenue Model'!B18)^(12/23)-1+'P&amp;L'!Y23,"0.0%")&amp;" using ARR CAGR plus final EBITDA margin. Growth is strong, but cash runway still needs board focus."</f>
        <v>Forecast Rule of 40 is approximately 152.1% using ARR CAGR plus final EBITDA margin. Growth is strong, but cash runway still needs board focus.</v>
      </c>
    </row>
    <row r="38" spans="1:2" ht="14.4">
      <c r="A38" s="44"/>
      <c r="B38" s="35"/>
    </row>
    <row r="39" spans="1:2" ht="16.2" thickBot="1">
      <c r="A39" s="46" t="s">
        <v>343</v>
      </c>
      <c r="B39" s="43"/>
    </row>
    <row r="40" spans="1:2" ht="14.4">
      <c r="A40" s="44" t="s">
        <v>286</v>
      </c>
      <c r="B40" s="35" t="str">
        <f>"Conservative case: "&amp;TEXT('Scenario Analysis'!B4,"0.0%")&amp;" new customer growth, "&amp;TEXT('Scenario Analysis'!C4,"0.0%")&amp;" churn, ending ARR "&amp;TEXT('Scenario Analysis'!E4,"$#,##0")&amp;", ending cash "&amp;TEXT('Scenario Analysis'!F4,"$#,##0;($#,##0)")&amp;", funding need "&amp;TEXT('Scenario Analysis'!G4,"$#,##0")&amp;". Slower acquisition and higher churn materially worsen liquidity."</f>
        <v>Conservative case: 2.0% new customer growth, 4.0% churn, ending ARR $1,209,983, ending cash ($358,118), funding need $433,118. Slower acquisition and higher churn materially worsen liquidity.</v>
      </c>
    </row>
    <row r="41" spans="1:2" ht="14.4">
      <c r="A41" s="44" t="s">
        <v>344</v>
      </c>
      <c r="B41" s="35" t="str">
        <f>"Base case: "&amp;TEXT('Scenario Analysis'!B5,"0.0%")&amp;" new customer growth, "&amp;TEXT('Scenario Analysis'!C5,"0.0%")&amp;" churn, ending ARR "&amp;TEXT('Scenario Analysis'!E5,"$#,##0")&amp;", ending cash "&amp;TEXT('Scenario Analysis'!F5,"$#,##0;($#,##0)")&amp;", funding need "&amp;TEXT('Scenario Analysis'!G5,"$#,##0")&amp;". This is the most realistic case because it matches the core model."</f>
        <v>Base case: 5.0% new customer growth, 3.0% churn, ending ARR $1,884,708, ending cash ($155,700), funding need $230,700. This is the most realistic case because it matches the core model.</v>
      </c>
    </row>
    <row r="42" spans="1:2" ht="14.4">
      <c r="A42" s="44" t="s">
        <v>290</v>
      </c>
      <c r="B42" s="35" t="str">
        <f>"Optimistic case: "&amp;TEXT('Scenario Analysis'!B6,"0.0%")&amp;" new customer growth, "&amp;TEXT('Scenario Analysis'!C6,"0.0%")&amp;" churn, ending ARR "&amp;TEXT('Scenario Analysis'!E6,"$#,##0")&amp;", ending cash "&amp;TEXT('Scenario Analysis'!F6,"$#,##0;($#,##0)")&amp;", funding need "&amp;TEXT('Scenario Analysis'!G6,"$#,##0")&amp;". Upside nearly solves the cash gap, but requires acquisition and churn to both outperform."</f>
        <v>Optimistic case: 8.0% new customer growth, 2.0% churn, ending ARR $2,559,434, ending cash $46,717, funding need $28,283. Upside nearly solves the cash gap, but requires acquisition and churn to both outperform.</v>
      </c>
    </row>
    <row r="43" spans="1:2" ht="14.4">
      <c r="A43" s="44" t="s">
        <v>345</v>
      </c>
      <c r="B43" s="35" t="s">
        <v>346</v>
      </c>
    </row>
    <row r="44" spans="1:2" ht="14.4">
      <c r="A44" s="44"/>
      <c r="B44" s="35"/>
    </row>
    <row r="45" spans="1:2" ht="16.2" thickBot="1">
      <c r="A45" s="47" t="s">
        <v>347</v>
      </c>
      <c r="B45" s="43"/>
    </row>
    <row r="46" spans="1:2" ht="14.4">
      <c r="A46" s="48" t="s">
        <v>348</v>
      </c>
      <c r="B46" s="35" t="s">
        <v>349</v>
      </c>
    </row>
    <row r="47" spans="1:2" ht="14.4">
      <c r="A47" s="50" t="s">
        <v>350</v>
      </c>
      <c r="B47" s="35" t="s">
        <v>351</v>
      </c>
    </row>
    <row r="48" spans="1:2" ht="14.4">
      <c r="A48" s="49" t="s">
        <v>350</v>
      </c>
      <c r="B48" s="35" t="s">
        <v>352</v>
      </c>
    </row>
    <row r="49" spans="1:2" ht="14.4">
      <c r="A49" s="49" t="s">
        <v>350</v>
      </c>
      <c r="B49" s="35" t="s">
        <v>353</v>
      </c>
    </row>
    <row r="50" spans="1:2" ht="14.4">
      <c r="A50" s="51" t="s">
        <v>354</v>
      </c>
      <c r="B50" s="35" t="s">
        <v>355</v>
      </c>
    </row>
    <row r="51" spans="1:2" ht="14.4">
      <c r="A51" s="52" t="s">
        <v>350</v>
      </c>
      <c r="B51" s="35" t="s">
        <v>356</v>
      </c>
    </row>
    <row r="52" spans="1:2" ht="14.4">
      <c r="A52" s="44"/>
      <c r="B52" s="35"/>
    </row>
    <row r="53" spans="1:2" ht="16.2" thickBot="1">
      <c r="A53" s="46" t="s">
        <v>357</v>
      </c>
      <c r="B53" s="43"/>
    </row>
    <row r="54" spans="1:2" ht="14.4">
      <c r="A54" s="44">
        <v>1</v>
      </c>
      <c r="B54" s="35" t="s">
        <v>358</v>
      </c>
    </row>
    <row r="55" spans="1:2" ht="14.4">
      <c r="A55" s="44">
        <v>2</v>
      </c>
      <c r="B55" s="35" t="s">
        <v>359</v>
      </c>
    </row>
    <row r="56" spans="1:2" ht="14.4">
      <c r="A56" s="44">
        <v>3</v>
      </c>
      <c r="B56" s="35" t="s">
        <v>360</v>
      </c>
    </row>
    <row r="57" spans="1:2" ht="14.4">
      <c r="A57" s="44">
        <v>4</v>
      </c>
      <c r="B57" s="35" t="s">
        <v>361</v>
      </c>
    </row>
    <row r="58" spans="1:2" ht="14.4">
      <c r="A58" s="44">
        <v>5</v>
      </c>
      <c r="B58" s="35" t="s">
        <v>362</v>
      </c>
    </row>
    <row r="59" spans="1:2" ht="14.4">
      <c r="A59" s="44"/>
      <c r="B59" s="35"/>
    </row>
    <row r="60" spans="1:2" ht="16.2" thickBot="1">
      <c r="A60" s="46" t="s">
        <v>363</v>
      </c>
      <c r="B60" s="43"/>
    </row>
    <row r="61" spans="1:2" ht="14.4">
      <c r="A61" s="44">
        <v>1</v>
      </c>
      <c r="B61" s="35" t="s">
        <v>364</v>
      </c>
    </row>
    <row r="62" spans="1:2" ht="14.4">
      <c r="A62" s="44">
        <v>2</v>
      </c>
      <c r="B62" s="35" t="s">
        <v>365</v>
      </c>
    </row>
    <row r="63" spans="1:2" ht="14.4">
      <c r="A63" s="44">
        <v>3</v>
      </c>
      <c r="B63" s="35" t="s">
        <v>366</v>
      </c>
    </row>
    <row r="64" spans="1:2" ht="14.4">
      <c r="A64" s="44">
        <v>4</v>
      </c>
      <c r="B64" s="35" t="s">
        <v>367</v>
      </c>
    </row>
    <row r="65" spans="1:2" ht="14.4">
      <c r="A65" s="45">
        <v>5</v>
      </c>
      <c r="B65" s="36" t="s">
        <v>368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01640-53E5-4491-90D3-855502D9A6F1}">
  <dimension ref="A1:F12"/>
  <sheetViews>
    <sheetView showGridLines="0" tabSelected="1" workbookViewId="0">
      <pane ySplit="1" topLeftCell="A2" activePane="bottomLeft" state="frozen"/>
      <selection pane="bottomLeft"/>
    </sheetView>
  </sheetViews>
  <sheetFormatPr defaultRowHeight="13.8"/>
  <cols>
    <col min="1" max="1" width="9.19921875" style="54" customWidth="1"/>
    <col min="2" max="2" width="25" style="54" customWidth="1"/>
    <col min="3" max="3" width="55" style="54" customWidth="1"/>
    <col min="4" max="4" width="53.296875" style="54" customWidth="1"/>
    <col min="5" max="5" width="43.296875" style="54" customWidth="1"/>
    <col min="6" max="6" width="65" style="54" customWidth="1"/>
    <col min="7" max="16384" width="8.796875" style="54"/>
  </cols>
  <sheetData>
    <row r="1" spans="1:6" ht="28.05" customHeight="1">
      <c r="A1" s="75" t="s">
        <v>369</v>
      </c>
      <c r="B1" s="76" t="s">
        <v>370</v>
      </c>
      <c r="C1" s="76" t="s">
        <v>371</v>
      </c>
      <c r="D1" s="76" t="s">
        <v>372</v>
      </c>
      <c r="E1" s="76" t="s">
        <v>373</v>
      </c>
      <c r="F1" s="77" t="s">
        <v>374</v>
      </c>
    </row>
    <row r="2" spans="1:6" ht="82.05" customHeight="1">
      <c r="A2" s="78">
        <v>1</v>
      </c>
      <c r="B2" s="79" t="s">
        <v>375</v>
      </c>
      <c r="C2" s="80" t="str">
        <f>_xlfn.TEXTJOIN(" ",TRUE,"ARR scales from "&amp;TEXT('Revenue Model'!B18,"$#,##0")&amp;" to "&amp;TEXT('Revenue Model'!Y18,"$#,##0")&amp;", while ending cash falls to "&amp;TEXT('Cash Runway'!Y19,"$#,##0;($#,##0)")&amp;".","Decision: prioritize financing timing while protecting growth quality.")</f>
        <v>ARR scales from $340,695 to $1,884,708, while ending cash falls to ($155,700). Decision: prioritize financing timing while protecting growth quality.</v>
      </c>
      <c r="D2" s="80" t="str">
        <f>_xlfn.TEXTJOIN(" | ",TRUE,"Ending ARR: "&amp;TEXT('SaaS KPI Dashboard'!A5,"$#,##0"),"Ending MRR: "&amp;TEXT('SaaS KPI Dashboard'!D5,"$#,##0"),"Ending customers: "&amp;TEXT('SaaS KPI Dashboard'!G5,"0.0"),"Funding need: "&amp;TEXT('SaaS KPI Dashboard'!J10,"$#,##0"))</f>
        <v>Ending ARR: $1,884,708 | Ending MRR: $157,059 | Ending customers: 298.4 | Funding need: $252,492</v>
      </c>
      <c r="E2" s="80" t="s">
        <v>383</v>
      </c>
      <c r="F2" s="81" t="str">
        <f>_xlfn.TEXTJOIN(" ",TRUE,"Open with the trade-off: growth is working, but liquidity is not yet self-funded.","Use the board ask to align on raise timing before cash moves below the minimum threshold and turns negative.")</f>
        <v>Open with the trade-off: growth is working, but liquidity is not yet self-funded. Use the board ask to align on raise timing before cash moves below the minimum threshold and turns negative.</v>
      </c>
    </row>
    <row r="3" spans="1:6" ht="82.05" customHeight="1">
      <c r="A3" s="82">
        <v>2</v>
      </c>
      <c r="B3" s="83" t="s">
        <v>376</v>
      </c>
      <c r="C3" s="84" t="str">
        <f>_xlfn.TEXTJOIN(" ",TRUE,"Recurring revenue grows materially: MRR moves from "&amp;TEXT('Revenue Model'!B17,"$#,##0")&amp;" to "&amp;TEXT('Revenue Model'!Y17,"$#,##0")&amp;" and ARR reaches "&amp;TEXT('Revenue Model'!Y18,"$#,##0")&amp;".","Decision: validate GTM capacity behind the growth curve.")</f>
        <v>Recurring revenue grows materially: MRR moves from $28,391 to $157,059 and ARR reaches $1,884,708. Decision: validate GTM capacity behind the growth curve.</v>
      </c>
      <c r="D3" s="84" t="str">
        <f>_xlfn.TEXTJOIN(" | ",TRUE,"MRR: "&amp;TEXT('Revenue Model'!B17,"$#,##0")&amp;" → "&amp;TEXT('Revenue Model'!Y17,"$#,##0"),"ARR: "&amp;TEXT('Revenue Model'!B18,"$#,##0")&amp;" → "&amp;TEXT('Revenue Model'!Y18,"$#,##0"),"New customers / month: "&amp;TEXT('Revenue Model'!B7,"0.0")&amp;" → "&amp;TEXT('Revenue Model'!Y7,"0.0"))</f>
        <v>MRR: $28,391 → $157,059 | ARR: $340,695 → $1,884,708 | New customers / month: 8.0 → 24.6</v>
      </c>
      <c r="E3" s="84" t="s">
        <v>384</v>
      </c>
      <c r="F3" s="85" t="str">
        <f>_xlfn.TEXTJOIN(" ",TRUE,"Emphasize that growth comes from sustained new customer additions, not one-off services revenue.","Ask whether sales capacity, pipeline conversion, and CAC controls support the 5.0% monthly new-customer growth assumption.")</f>
        <v>Emphasize that growth comes from sustained new customer additions, not one-off services revenue. Ask whether sales capacity, pipeline conversion, and CAC controls support the 5.0% monthly new-customer growth assumption.</v>
      </c>
    </row>
    <row r="4" spans="1:6" ht="82.05" customHeight="1">
      <c r="A4" s="78">
        <v>3</v>
      </c>
      <c r="B4" s="79" t="s">
        <v>377</v>
      </c>
      <c r="C4" s="80" t="str">
        <f>_xlfn.TEXTJOIN(" ",TRUE,"Customers grow from "&amp;TEXT('Revenue Model'!B9,"0.0")&amp;" to "&amp;TEXT('Revenue Model'!Y9,"0.0")&amp;", but churned customers rise with the base.","Decision: make retention a board-level operating priority.")</f>
        <v>Customers grow from 56.5 to 298.4, but churned customers rise with the base. Decision: make retention a board-level operating priority.</v>
      </c>
      <c r="D4" s="80" t="str">
        <f>_xlfn.TEXTJOIN(" | ",TRUE,"Ending customers: "&amp;TEXT('Revenue Model'!B9,"0.0")&amp;" → "&amp;TEXT('Revenue Model'!Y9,"0.0"),"Monthly churn: "&amp;TEXT('Revenue Model'!Y24,"0.0%"),"Churned customers: "&amp;TEXT('Revenue Model'!B8,"0.0")&amp;" → "&amp;TEXT('Revenue Model'!Y8,"0.0"),"NRR: "&amp;TEXT('Revenue Model'!Y28,"0.0%"))</f>
        <v>Ending customers: 56.5 → 298.4 | Monthly churn: 3.0% | Churned customers: 1.5 → 8.5 | NRR: 97.5%</v>
      </c>
      <c r="E4" s="80" t="s">
        <v>385</v>
      </c>
      <c r="F4" s="81" t="str">
        <f>_xlfn.TEXTJOIN(" ",TRUE,"Frame this as the operating constraint behind growth quality.","NRR below 100% means expansion is not yet fully offsetting churn, so retention and upsell motions need explicit ownership.")</f>
        <v>Frame this as the operating constraint behind growth quality. NRR below 100% means expansion is not yet fully offsetting churn, so retention and upsell motions need explicit ownership.</v>
      </c>
    </row>
    <row r="5" spans="1:6" ht="82.05" customHeight="1">
      <c r="A5" s="82">
        <v>4</v>
      </c>
      <c r="B5" s="83" t="s">
        <v>378</v>
      </c>
      <c r="C5" s="84" t="str">
        <f>_xlfn.TEXTJOIN(" ",TRUE,"EBITDA improves from "&amp;TEXT('P&amp;L'!B22,"$#,##0;($#,##0)")&amp;" to "&amp;TEXT('P&amp;L'!Y22,"$#,##0;($#,##0)")&amp;" and reaches a "&amp;TEXT('P&amp;L'!Y23,"0.0%")&amp;" margin.","Decision: gate opex to the cash trough while preserving revenue capacity.")</f>
        <v>EBITDA improves from ($30,802) to $12,170 and reaches a 8.0% margin. Decision: gate opex to the cash trough while preserving revenue capacity.</v>
      </c>
      <c r="D5" s="84" t="str">
        <f>_xlfn.TEXTJOIN(" | ",TRUE,"Revenue: "&amp;TEXT('P&amp;L'!B8,"$#,##0")&amp;" → "&amp;TEXT('P&amp;L'!Y8,"$#,##0"),"Gross margin: "&amp;TEXT('P&amp;L'!Y13,"0.0%"),"EBITDA: "&amp;TEXT('P&amp;L'!B22,"$#,##0;($#,##0)")&amp;" → "&amp;TEXT('P&amp;L'!Y22,"$#,##0;($#,##0)"),"Total opex: "&amp;TEXT('P&amp;L'!B19,"$#,##0")&amp;" → "&amp;TEXT('P&amp;L'!Y19,"$#,##0"))</f>
        <v>Revenue: $26,696 → $152,752 | Gross margin: 78.0% | EBITDA: ($30,802) → $12,170 | Total opex: $51,625 → $106,977</v>
      </c>
      <c r="E5" s="84" t="s">
        <v>386</v>
      </c>
      <c r="F5" s="85" t="str">
        <f>_xlfn.TEXTJOIN(" ",TRUE,"Show that margin expansion is real, but it arrives after a long loss-making period.","Call out Sales &amp; Marketing as the largest final-month opex bucket and tie spend approval to CAC payback and pipeline quality.")</f>
        <v>Show that margin expansion is real, but it arrives after a long loss-making period. Call out Sales &amp; Marketing as the largest final-month opex bucket and tie spend approval to CAC payback and pipeline quality.</v>
      </c>
    </row>
    <row r="6" spans="1:6" ht="82.05" customHeight="1">
      <c r="A6" s="78">
        <v>5</v>
      </c>
      <c r="B6" s="79" t="s">
        <v>238</v>
      </c>
      <c r="C6" s="80" t="str" cm="1">
        <f t="array" ref="C6">_xlfn.TEXTJOIN(" ",TRUE,"Cash falls below the "&amp;TEXT(Assumptions!$C$9,"$#,##0")&amp;" minimum in "&amp;INDEX('Cash Runway'!B$4:Y$4,MATCH("Below Minimum",'Cash Runway'!B22:Y22,0))&amp;" and turns negative in "&amp;INDEX('Cash Runway'!B$4:Y$4,MATCH(TRUE,'Cash Runway'!B19:Y19&lt;0,0))&amp;".","Decision: begin financing work before the risk window.")</f>
        <v>Cash falls below the $75,000 minimum in Feb-27 and turns negative in Apr-27. Decision: begin financing work before the risk window.</v>
      </c>
      <c r="D6" s="80" t="str">
        <f>_xlfn.TEXTJOIN(" | ",TRUE,"Starting cash: "&amp;TEXT('Cash Runway'!B6,"$#,##0"),"Ending cash: "&amp;TEXT('Cash Runway'!Y19,"$#,##0;($#,##0)"),"Peak net burn: "&amp;TEXT(MAX('Cash Runway'!B18:Y18),"$#,##0"),"Max funding need: "&amp;TEXT(MAX('Cash Runway'!B21:Y21),"$#,##0"))</f>
        <v>Starting cash: $400,000 | Ending cash: ($155,700) | Peak net burn: $48,515 | Max funding need: $252,492</v>
      </c>
      <c r="E6" s="80" t="s">
        <v>387</v>
      </c>
      <c r="F6" s="81" t="str">
        <f>_xlfn.TEXTJOIN(" ",TRUE,"This is the clearest board decision slide.","Recommend sizing the financing above the modeled funding need because the model shows negative ending cash even as EBITDA turns positive late in the plan.")</f>
        <v>This is the clearest board decision slide. Recommend sizing the financing above the modeled funding need because the model shows negative ending cash even as EBITDA turns positive late in the plan.</v>
      </c>
    </row>
    <row r="7" spans="1:6" ht="82.05" customHeight="1">
      <c r="A7" s="82">
        <v>6</v>
      </c>
      <c r="B7" s="83" t="s">
        <v>379</v>
      </c>
      <c r="C7" s="84" t="str">
        <f>_xlfn.TEXTJOIN(" ",TRUE,"The model shows strong SaaS economics with "&amp;TEXT('P&amp;L'!Y13,"0.0%")&amp;" gross margin and "&amp;TEXT('SaaS KPI Dashboard'!G10,"0.0x")&amp;" LTV:CAC, but NRR is only "&amp;TEXT('Revenue Model'!Y28,"0.0%")&amp;".","Decision: confirm CAC is fully loaded and raise retention ambition.")</f>
        <v>The model shows strong SaaS economics with 78.0% gross margin and 10.8x LTV:CAC, but NRR is only 97.5%. Decision: confirm CAC is fully loaded and raise retention ambition.</v>
      </c>
      <c r="D7" s="84" t="str">
        <f>_xlfn.TEXTJOIN(" | ",TRUE,"Gross margin: "&amp;TEXT('SaaS KPI Dashboard'!A10,"0.0%"),"EBITDA margin: "&amp;TEXT('SaaS KPI Dashboard'!D10,"0.0%"),"LTV:CAC: "&amp;TEXT('SaaS KPI Dashboard'!G10,"0.0x"),"NRR: "&amp;TEXT('Revenue Model'!Y28,"0.0%"))</f>
        <v>Gross margin: 78.0% | EBITDA margin: 8.0% | LTV:CAC: 10.8x | NRR: 97.5%</v>
      </c>
      <c r="E7" s="84" t="s">
        <v>388</v>
      </c>
      <c r="F7" s="85" t="str">
        <f>_xlfn.TEXTJOIN(" ",TRUE,"Position the KPI story as attractive but not yet fully de-risked.","The board should pressure-test CAC definition and approve a retention/expansion plan to move NRR above 100%.")</f>
        <v>Position the KPI story as attractive but not yet fully de-risked. The board should pressure-test CAC definition and approve a retention/expansion plan to move NRR above 100%.</v>
      </c>
    </row>
    <row r="8" spans="1:6" ht="82.05" customHeight="1">
      <c r="A8" s="78">
        <v>7</v>
      </c>
      <c r="B8" s="79" t="s">
        <v>280</v>
      </c>
      <c r="C8" s="80" t="str">
        <f>_xlfn.TEXTJOIN(" ",TRUE,"Liquidity is highly sensitive to acquisition and churn: conservative funding need is "&amp;TEXT('Scenario Analysis'!G4,"$#,##0")&amp;" versus "&amp;TEXT('Scenario Analysis'!G5,"$#,##0")&amp;" in base and "&amp;TEXT('Scenario Analysis'!G6,"$#,##0")&amp;" in upside.","Decision: finance against downside, operate against base.")</f>
        <v>Liquidity is highly sensitive to acquisition and churn: conservative funding need is $433,118 versus $230,700 in base and $28,283 in upside. Decision: finance against downside, operate against base.</v>
      </c>
      <c r="D8" s="80" t="str">
        <f>_xlfn.TEXTJOIN(" | ",TRUE,"Conservative ARR / cash: "&amp;TEXT('Scenario Analysis'!E4,"$#,##0")&amp;" / "&amp;TEXT('Scenario Analysis'!F4,"$#,##0;($#,##0)"),"Base ARR / cash: "&amp;TEXT('Scenario Analysis'!E5,"$#,##0")&amp;" / "&amp;TEXT('Scenario Analysis'!F5,"$#,##0;($#,##0)"),"Optimistic ARR / cash: "&amp;TEXT('Scenario Analysis'!E6,"$#,##0")&amp;" / "&amp;TEXT('Scenario Analysis'!F6,"$#,##0;($#,##0)"))</f>
        <v>Conservative ARR / cash: $1,209,983 / ($358,118) | Base ARR / cash: $1,884,708 / ($155,700) | Optimistic ARR / cash: $2,559,434 / $46,717</v>
      </c>
      <c r="E8" s="80" t="s">
        <v>389</v>
      </c>
      <c r="F8" s="81" t="str">
        <f>_xlfn.TEXTJOIN(" ",TRUE,"Use this slide to separate operating plan from financing plan.","Base case should guide execution; conservative case should guide capital buffer because liquidity deteriorates quickly when acquisition slows and churn rises.")</f>
        <v>Use this slide to separate operating plan from financing plan. Base case should guide execution; conservative case should guide capital buffer because liquidity deteriorates quickly when acquisition slows and churn rises.</v>
      </c>
    </row>
    <row r="9" spans="1:6" ht="82.05" customHeight="1">
      <c r="A9" s="82">
        <v>8</v>
      </c>
      <c r="B9" s="83" t="s">
        <v>380</v>
      </c>
      <c r="C9" s="84" t="str">
        <f>_xlfn.TEXTJOIN(" ",TRUE,"The main risk is liquidity timing, followed by NRR below 100%, churn scaling with the customer base, and opex commitments before cash improves.","Decision: assign owners to financing, retention, and spend gates.")</f>
        <v>The main risk is liquidity timing, followed by NRR below 100%, churn scaling with the customer base, and opex commitments before cash improves. Decision: assign owners to financing, retention, and spend gates.</v>
      </c>
      <c r="D9" s="84" t="str">
        <f>_xlfn.TEXTJOIN(" | ",TRUE,"Ending cash: "&amp;TEXT('Cash Runway'!Y19,"$#,##0;($#,##0)"),"Max funding need: "&amp;TEXT(MAX('Cash Runway'!B21:Y21),"$#,##0"),"NRR: "&amp;TEXT('Revenue Model'!Y28,"0.0%"),"Total opex: "&amp;TEXT('P&amp;L'!B19,"$#,##0")&amp;" → "&amp;TEXT('P&amp;L'!Y19,"$#,##0"))</f>
        <v>Ending cash: ($155,700) | Max funding need: $252,492 | NRR: 97.5% | Total opex: $51,625 → $106,977</v>
      </c>
      <c r="E9" s="84" t="s">
        <v>390</v>
      </c>
      <c r="F9" s="85" t="str">
        <f>_xlfn.TEXTJOIN(" ",TRUE,"Avoid a generic risk list; keep this tied to the model’s cash and retention outputs.","Make the board discussion practical: who owns funding timing, NRR improvement, churn mitigation, and opex gating?")</f>
        <v>Avoid a generic risk list; keep this tied to the model’s cash and retention outputs. Make the board discussion practical: who owns funding timing, NRR improvement, churn mitigation, and opex gating?</v>
      </c>
    </row>
    <row r="10" spans="1:6" ht="82.05" customHeight="1">
      <c r="A10" s="78">
        <v>9</v>
      </c>
      <c r="B10" s="79" t="s">
        <v>381</v>
      </c>
      <c r="C10" s="80" t="str">
        <f>_xlfn.TEXTJOIN(" ",TRUE,"Management should start fundraising preparation, gate opex before the burn peak, and build a retention/expansion plan to move NRR above 100%.","Decision: approve the operating guardrails for the next board cycle.")</f>
        <v>Management should start fundraising preparation, gate opex before the burn peak, and build a retention/expansion plan to move NRR above 100%. Decision: approve the operating guardrails for the next board cycle.</v>
      </c>
      <c r="D10" s="80" t="str">
        <f>_xlfn.TEXTJOIN(" | ",TRUE,"Cash below minimum: "&amp;INDEX('Cash Runway'!B$4:Y$4,MATCH("Below Minimum",'Cash Runway'!B22:Y22,0)),"Peak burn: "&amp;TEXT(MAX('Cash Runway'!B18:Y18),"$#,##0"),"Funding need: "&amp;TEXT(MAX('Cash Runway'!B21:Y21),"$#,##0"),"NRR: "&amp;TEXT('Revenue Model'!Y28,"0.0%"))</f>
        <v>Cash below minimum: Feb-27 | Peak burn: $48,515 | Funding need: $252,492 | NRR: 97.5%</v>
      </c>
      <c r="E10" s="80" t="s">
        <v>391</v>
      </c>
      <c r="F10" s="81" t="str">
        <f>_xlfn.TEXTJOIN(" ",TRUE,"Keep this slide action-oriented: financing timeline, opex gates, retention plan, and CAC governance.","Ask for board alignment on the raise buffer and which spend commitments can be delayed if the conservative case develops.")</f>
        <v>Keep this slide action-oriented: financing timeline, opex gates, retention plan, and CAC governance. Ask for board alignment on the raise buffer and which spend commitments can be delayed if the conservative case develops.</v>
      </c>
    </row>
    <row r="11" spans="1:6" ht="82.05" customHeight="1" thickBot="1">
      <c r="A11" s="86">
        <v>10</v>
      </c>
      <c r="B11" s="87" t="s">
        <v>382</v>
      </c>
      <c r="C11" s="88" t="str">
        <f>_xlfn.TEXTJOIN(" ",TRUE,"The board needs decisions on raise timing and buffer, retention targets, GTM scalability, opex flexibility, and whether conservative or base case drives financing.","Decision: convert discussion into owners and timing.")</f>
        <v>The board needs decisions on raise timing and buffer, retention targets, GTM scalability, opex flexibility, and whether conservative or base case drives financing. Decision: convert discussion into owners and timing.</v>
      </c>
      <c r="D11" s="88" t="str">
        <f>_xlfn.TEXTJOIN(" | ",TRUE,"Raise trigger: "&amp;INDEX('Cash Runway'!B$4:Y$4,MATCH("Below Minimum",'Cash Runway'!B22:Y22,0)),"Base funding need: "&amp;TEXT('Scenario Analysis'!G5,"$#,##0"),"Conservative funding need: "&amp;TEXT('Scenario Analysis'!G4,"$#,##0"),"New-customer growth: "&amp;TEXT(Assumptions!$C$17,"0.0%"))</f>
        <v>Raise trigger: Feb-27 | Base funding need: $230,700 | Conservative funding need: $433,118 | New-customer growth: 5.0%</v>
      </c>
      <c r="E11" s="88" t="s">
        <v>392</v>
      </c>
      <c r="F11" s="89" t="str">
        <f>_xlfn.TEXTJOIN(" ",TRUE,"End with explicit asks, not open-ended commentary.","Secure agreement on financing case, NRR target, GTM proof points, and cost gates before the next monthly review.")</f>
        <v>End with explicit asks, not open-ended commentary. Secure agreement on financing case, NRR target, GTM proof points, and cost gates before the next monthly review.</v>
      </c>
    </row>
    <row r="12" spans="1:6" ht="14.4" thickTop="1"/>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Cover</vt:lpstr>
      <vt:lpstr>Assumptions</vt:lpstr>
      <vt:lpstr>Revenue Model</vt:lpstr>
      <vt:lpstr>COGS</vt:lpstr>
      <vt:lpstr>Headcount</vt:lpstr>
      <vt:lpstr>Opex</vt:lpstr>
      <vt:lpstr>P&amp;L</vt:lpstr>
      <vt:lpstr>Cash Runway</vt:lpstr>
      <vt:lpstr>SaaS KPI Dashboard</vt:lpstr>
      <vt:lpstr>Scenario Analysis</vt:lpstr>
      <vt:lpstr>Charts</vt:lpstr>
      <vt:lpstr>Commentary</vt:lpstr>
      <vt:lpstr>Board Analysis</vt:lpstr>
      <vt:lpstr>Board Deck Input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Kailash S</cp:lastModifiedBy>
  <dcterms:modified xsi:type="dcterms:W3CDTF">2026-05-06T14:13:41Z</dcterms:modified>
</cp:coreProperties>
</file>